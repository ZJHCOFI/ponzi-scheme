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个人\blog\"/>
    </mc:Choice>
  </mc:AlternateContent>
  <xr:revisionPtr revIDLastSave="0" documentId="13_ncr:1_{36ED0D0C-35E6-4DB4-8D96-8E05C9635C74}" xr6:coauthVersionLast="47" xr6:coauthVersionMax="47" xr10:uidLastSave="{00000000-0000-0000-0000-000000000000}"/>
  <bookViews>
    <workbookView xWindow="-108" yWindow="-108" windowWidth="23256" windowHeight="12576" xr2:uid="{00000000-000D-0000-FFFF-FFFF00000000}"/>
  </bookViews>
  <sheets>
    <sheet name="社保费用计算表" sheetId="1" r:id="rId1"/>
    <sheet name="每年金额计算"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E11" i="1"/>
  <c r="G10" i="1"/>
  <c r="E10" i="1"/>
  <c r="G9" i="1"/>
  <c r="E9" i="1"/>
  <c r="G4" i="2" l="1"/>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184"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 i="2"/>
  <c r="G12" i="1"/>
  <c r="E12" i="1"/>
  <c r="C11" i="1"/>
  <c r="C9" i="1"/>
  <c r="C10" i="1"/>
  <c r="C12" i="1" l="1"/>
  <c r="C4" i="2" l="1"/>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54" i="2"/>
  <c r="C56" i="2"/>
  <c r="C58" i="2"/>
  <c r="C60" i="2"/>
  <c r="C61" i="2"/>
  <c r="C37" i="2"/>
  <c r="C38" i="2"/>
  <c r="C39" i="2"/>
  <c r="C40" i="2"/>
  <c r="C41" i="2"/>
  <c r="C42" i="2"/>
  <c r="C43" i="2"/>
  <c r="C44" i="2"/>
  <c r="C45" i="2"/>
  <c r="C46" i="2"/>
  <c r="C47" i="2"/>
  <c r="C48" i="2"/>
  <c r="C49" i="2"/>
  <c r="C50" i="2"/>
  <c r="C51" i="2"/>
  <c r="C52" i="2"/>
  <c r="C53" i="2"/>
  <c r="C55" i="2"/>
  <c r="C57" i="2"/>
  <c r="C59" i="2"/>
  <c r="C62" i="2"/>
  <c r="C3" i="2"/>
  <c r="D33" i="2" l="1"/>
  <c r="D30" i="2"/>
  <c r="D28" i="2"/>
  <c r="D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2" i="2"/>
  <c r="D31" i="2"/>
  <c r="D29" i="2"/>
  <c r="D27" i="2"/>
  <c r="D26" i="2"/>
  <c r="D25" i="2"/>
  <c r="D24" i="2"/>
  <c r="D23" i="2"/>
  <c r="D22" i="2"/>
  <c r="D14" i="1" s="1"/>
  <c r="D21" i="2"/>
  <c r="D20" i="2"/>
  <c r="D19" i="2"/>
  <c r="D18" i="2"/>
  <c r="D17" i="2"/>
  <c r="D16" i="2"/>
  <c r="D15" i="2"/>
  <c r="D14" i="2"/>
  <c r="D13" i="2"/>
  <c r="D12" i="2"/>
  <c r="D11" i="2"/>
  <c r="D10" i="2"/>
  <c r="D9" i="2"/>
  <c r="D8" i="2"/>
  <c r="D7" i="2"/>
  <c r="D6" i="2"/>
  <c r="D5" i="2"/>
  <c r="D4" i="2"/>
  <c r="A4" i="2" l="1"/>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83" i="2"/>
  <c r="A85" i="2"/>
  <c r="A87" i="2"/>
  <c r="A89" i="2"/>
  <c r="A91" i="2"/>
  <c r="A93" i="2"/>
  <c r="A184" i="2"/>
  <c r="A116" i="2"/>
  <c r="A117" i="2"/>
  <c r="A120" i="2"/>
  <c r="A167" i="2"/>
  <c r="A168" i="2"/>
  <c r="A173" i="2"/>
  <c r="A180" i="2"/>
  <c r="A186" i="2"/>
  <c r="A191" i="2"/>
  <c r="A195" i="2"/>
  <c r="A200" i="2"/>
  <c r="A211" i="2"/>
  <c r="A217" i="2"/>
  <c r="A219" i="2"/>
  <c r="A223" i="2"/>
  <c r="A228" i="2"/>
  <c r="A233" i="2"/>
  <c r="A240" i="2"/>
  <c r="A243" i="2"/>
  <c r="A246" i="2"/>
  <c r="A264" i="2"/>
  <c r="A267" i="2"/>
  <c r="A271" i="2"/>
  <c r="A299" i="2"/>
  <c r="A306" i="2"/>
  <c r="A310" i="2"/>
  <c r="A314" i="2"/>
  <c r="A317"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4" i="2"/>
  <c r="A86" i="2"/>
  <c r="A88" i="2"/>
  <c r="A90" i="2"/>
  <c r="A92" i="2"/>
  <c r="A115" i="2"/>
  <c r="A118" i="2"/>
  <c r="A121" i="2"/>
  <c r="A123" i="2"/>
  <c r="A126" i="2"/>
  <c r="A129" i="2"/>
  <c r="A131" i="2"/>
  <c r="A133" i="2"/>
  <c r="A135" i="2"/>
  <c r="A171" i="2"/>
  <c r="A182" i="2"/>
  <c r="A192" i="2"/>
  <c r="A197" i="2"/>
  <c r="A204" i="2"/>
  <c r="A208" i="2"/>
  <c r="A213" i="2"/>
  <c r="A216" i="2"/>
  <c r="A222" i="2"/>
  <c r="A225" i="2"/>
  <c r="A230" i="2"/>
  <c r="A235" i="2"/>
  <c r="A238" i="2"/>
  <c r="A244" i="2"/>
  <c r="A258" i="2"/>
  <c r="A263" i="2"/>
  <c r="A272" i="2"/>
  <c r="A303" i="2"/>
  <c r="A313" i="2"/>
  <c r="A319" i="2"/>
  <c r="A94" i="2"/>
  <c r="A95" i="2"/>
  <c r="A96" i="2"/>
  <c r="A97" i="2"/>
  <c r="A98" i="2"/>
  <c r="A99" i="2"/>
  <c r="A100" i="2"/>
  <c r="A101" i="2"/>
  <c r="A102" i="2"/>
  <c r="A103" i="2"/>
  <c r="A104" i="2"/>
  <c r="A105" i="2"/>
  <c r="A106" i="2"/>
  <c r="A107" i="2"/>
  <c r="A108" i="2"/>
  <c r="A109" i="2"/>
  <c r="A110" i="2"/>
  <c r="A111" i="2"/>
  <c r="A112" i="2"/>
  <c r="A113" i="2"/>
  <c r="A114" i="2"/>
  <c r="A119" i="2"/>
  <c r="A122" i="2"/>
  <c r="A125" i="2"/>
  <c r="A128" i="2"/>
  <c r="A169" i="2"/>
  <c r="A179" i="2"/>
  <c r="A187" i="2"/>
  <c r="A190" i="2"/>
  <c r="A193" i="2"/>
  <c r="A196" i="2"/>
  <c r="A199" i="2"/>
  <c r="A202" i="2"/>
  <c r="A205" i="2"/>
  <c r="A209" i="2"/>
  <c r="A214" i="2"/>
  <c r="A220" i="2"/>
  <c r="A226" i="2"/>
  <c r="A229" i="2"/>
  <c r="A232" i="2"/>
  <c r="A237" i="2"/>
  <c r="A241" i="2"/>
  <c r="A249" i="2"/>
  <c r="A254" i="2"/>
  <c r="A261" i="2"/>
  <c r="A268" i="2"/>
  <c r="A273" i="2"/>
  <c r="A298" i="2"/>
  <c r="A305" i="2"/>
  <c r="A308" i="2"/>
  <c r="A315" i="2"/>
  <c r="A31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72" i="2"/>
  <c r="A174" i="2"/>
  <c r="A176" i="2"/>
  <c r="A178" i="2"/>
  <c r="A183" i="2"/>
  <c r="A189" i="2"/>
  <c r="A201" i="2"/>
  <c r="A207" i="2"/>
  <c r="A212" i="2"/>
  <c r="A224" i="2"/>
  <c r="A231" i="2"/>
  <c r="A236" i="2"/>
  <c r="A239" i="2"/>
  <c r="A242" i="2"/>
  <c r="A245" i="2"/>
  <c r="A247" i="2"/>
  <c r="A251" i="2"/>
  <c r="A253" i="2"/>
  <c r="A257" i="2"/>
  <c r="A262" i="2"/>
  <c r="A265" i="2"/>
  <c r="A269" i="2"/>
  <c r="A301" i="2"/>
  <c r="A304" i="2"/>
  <c r="A307" i="2"/>
  <c r="A312" i="2"/>
  <c r="A316" i="2"/>
  <c r="A185" i="2"/>
  <c r="A250" i="2"/>
  <c r="A255" i="2"/>
  <c r="A259" i="2"/>
  <c r="A266" i="2"/>
  <c r="A275" i="2"/>
  <c r="A309" i="2"/>
  <c r="A276" i="2"/>
  <c r="A277" i="2"/>
  <c r="A278" i="2"/>
  <c r="A279" i="2"/>
  <c r="A280" i="2"/>
  <c r="A281" i="2"/>
  <c r="A282" i="2"/>
  <c r="A283" i="2"/>
  <c r="A284" i="2"/>
  <c r="A285" i="2"/>
  <c r="A286" i="2"/>
  <c r="A287" i="2"/>
  <c r="A288" i="2"/>
  <c r="A289" i="2"/>
  <c r="A290" i="2"/>
  <c r="A291" i="2"/>
  <c r="A292" i="2"/>
  <c r="A293" i="2"/>
  <c r="A294" i="2"/>
  <c r="A295" i="2"/>
  <c r="A296" i="2"/>
  <c r="A297" i="2"/>
  <c r="A302"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 i="2"/>
  <c r="A124" i="2"/>
  <c r="A127" i="2"/>
  <c r="A130" i="2"/>
  <c r="A132" i="2"/>
  <c r="A134" i="2"/>
  <c r="A136" i="2"/>
  <c r="A137" i="2"/>
  <c r="A138" i="2"/>
  <c r="A170" i="2"/>
  <c r="A175" i="2"/>
  <c r="A177" i="2"/>
  <c r="A181" i="2"/>
  <c r="A188" i="2"/>
  <c r="A194" i="2"/>
  <c r="A198" i="2"/>
  <c r="A203" i="2"/>
  <c r="A206" i="2"/>
  <c r="A210" i="2"/>
  <c r="A215" i="2"/>
  <c r="A218" i="2"/>
  <c r="A221" i="2"/>
  <c r="A227" i="2"/>
  <c r="A234" i="2"/>
  <c r="A248" i="2"/>
  <c r="A252" i="2"/>
  <c r="A256" i="2"/>
  <c r="A260" i="2"/>
  <c r="A270" i="2"/>
  <c r="A274" i="2"/>
  <c r="A300" i="2"/>
  <c r="A311" i="2"/>
  <c r="A320" i="2"/>
  <c r="E16" i="1" l="1"/>
</calcChain>
</file>

<file path=xl/sharedStrings.xml><?xml version="1.0" encoding="utf-8"?>
<sst xmlns="http://schemas.openxmlformats.org/spreadsheetml/2006/main" count="40" uniqueCount="37">
  <si>
    <t>单位缴费比例</t>
    <phoneticPr fontId="1" type="noConversion"/>
  </si>
  <si>
    <t>个人缴费比例</t>
    <phoneticPr fontId="1" type="noConversion"/>
  </si>
  <si>
    <t>失业保险缴费基数</t>
    <phoneticPr fontId="1" type="noConversion"/>
  </si>
  <si>
    <t>工伤保险缴费基数</t>
    <phoneticPr fontId="1" type="noConversion"/>
  </si>
  <si>
    <t>养老保险缴费基数</t>
    <phoneticPr fontId="1" type="noConversion"/>
  </si>
  <si>
    <t>以下淡蓝色底的表格可以手动输入内容</t>
    <phoneticPr fontId="1" type="noConversion"/>
  </si>
  <si>
    <r>
      <t>基本养老保险</t>
    </r>
    <r>
      <rPr>
        <b/>
        <sz val="11"/>
        <color theme="1"/>
        <rFont val="等线"/>
        <family val="3"/>
        <charset val="134"/>
        <scheme val="minor"/>
      </rPr>
      <t>个人</t>
    </r>
    <r>
      <rPr>
        <sz val="11"/>
        <color theme="1"/>
        <rFont val="等线"/>
        <family val="2"/>
        <scheme val="minor"/>
      </rPr>
      <t>缴纳金额</t>
    </r>
    <phoneticPr fontId="1" type="noConversion"/>
  </si>
  <si>
    <r>
      <t>失业保险</t>
    </r>
    <r>
      <rPr>
        <b/>
        <sz val="11"/>
        <color theme="1"/>
        <rFont val="等线"/>
        <family val="3"/>
        <charset val="134"/>
        <scheme val="minor"/>
      </rPr>
      <t>个人</t>
    </r>
    <r>
      <rPr>
        <sz val="11"/>
        <color theme="1"/>
        <rFont val="等线"/>
        <family val="2"/>
        <scheme val="minor"/>
      </rPr>
      <t>缴纳金额</t>
    </r>
    <phoneticPr fontId="1" type="noConversion"/>
  </si>
  <si>
    <r>
      <t>工伤保险</t>
    </r>
    <r>
      <rPr>
        <b/>
        <sz val="11"/>
        <color theme="1"/>
        <rFont val="等线"/>
        <family val="3"/>
        <charset val="134"/>
        <scheme val="minor"/>
      </rPr>
      <t>单位</t>
    </r>
    <r>
      <rPr>
        <sz val="11"/>
        <color theme="1"/>
        <rFont val="等线"/>
        <family val="2"/>
        <scheme val="minor"/>
      </rPr>
      <t>缴纳金额</t>
    </r>
    <phoneticPr fontId="1" type="noConversion"/>
  </si>
  <si>
    <r>
      <t>失业保险</t>
    </r>
    <r>
      <rPr>
        <b/>
        <sz val="11"/>
        <color theme="1"/>
        <rFont val="等线"/>
        <family val="3"/>
        <charset val="134"/>
        <scheme val="minor"/>
      </rPr>
      <t>单位</t>
    </r>
    <r>
      <rPr>
        <sz val="11"/>
        <color theme="1"/>
        <rFont val="等线"/>
        <family val="2"/>
        <scheme val="minor"/>
      </rPr>
      <t>缴纳金额</t>
    </r>
    <phoneticPr fontId="1" type="noConversion"/>
  </si>
  <si>
    <r>
      <t>基本养老保险</t>
    </r>
    <r>
      <rPr>
        <b/>
        <sz val="11"/>
        <color theme="1"/>
        <rFont val="等线"/>
        <family val="3"/>
        <charset val="134"/>
        <scheme val="minor"/>
      </rPr>
      <t>单位</t>
    </r>
    <r>
      <rPr>
        <sz val="11"/>
        <color theme="1"/>
        <rFont val="等线"/>
        <family val="2"/>
        <scheme val="minor"/>
      </rPr>
      <t>缴纳金额</t>
    </r>
    <phoneticPr fontId="1" type="noConversion"/>
  </si>
  <si>
    <r>
      <t>基本养老保险</t>
    </r>
    <r>
      <rPr>
        <b/>
        <sz val="11"/>
        <color rgb="FFFF0000"/>
        <rFont val="等线"/>
        <family val="3"/>
        <charset val="134"/>
        <scheme val="minor"/>
      </rPr>
      <t>合计</t>
    </r>
    <r>
      <rPr>
        <sz val="11"/>
        <color theme="1"/>
        <rFont val="等线"/>
        <family val="2"/>
        <scheme val="minor"/>
      </rPr>
      <t>缴纳金额</t>
    </r>
    <phoneticPr fontId="1" type="noConversion"/>
  </si>
  <si>
    <r>
      <t>失业保险</t>
    </r>
    <r>
      <rPr>
        <b/>
        <sz val="11"/>
        <color rgb="FFFF0000"/>
        <rFont val="等线"/>
        <family val="3"/>
        <charset val="134"/>
        <scheme val="minor"/>
      </rPr>
      <t>合计</t>
    </r>
    <r>
      <rPr>
        <sz val="11"/>
        <color theme="1"/>
        <rFont val="等线"/>
        <family val="2"/>
        <scheme val="minor"/>
      </rPr>
      <t>缴纳金额</t>
    </r>
    <phoneticPr fontId="1" type="noConversion"/>
  </si>
  <si>
    <r>
      <t>工伤保险</t>
    </r>
    <r>
      <rPr>
        <b/>
        <sz val="11"/>
        <color rgb="FFFF0000"/>
        <rFont val="等线"/>
        <family val="3"/>
        <charset val="134"/>
        <scheme val="minor"/>
      </rPr>
      <t>合计</t>
    </r>
    <r>
      <rPr>
        <sz val="11"/>
        <color theme="1"/>
        <rFont val="等线"/>
        <family val="2"/>
        <scheme val="minor"/>
      </rPr>
      <t>缴纳金额</t>
    </r>
    <phoneticPr fontId="1" type="noConversion"/>
  </si>
  <si>
    <t>月总计</t>
    <phoneticPr fontId="1" type="noConversion"/>
  </si>
  <si>
    <r>
      <rPr>
        <b/>
        <sz val="10"/>
        <color theme="1"/>
        <rFont val="等线"/>
        <family val="3"/>
        <charset val="134"/>
        <scheme val="minor"/>
      </rPr>
      <t>第二年缴费基数普调规则：</t>
    </r>
    <r>
      <rPr>
        <sz val="9"/>
        <color theme="1"/>
        <rFont val="等线"/>
        <family val="3"/>
        <charset val="134"/>
        <scheme val="minor"/>
      </rPr>
      <t xml:space="preserve">
</t>
    </r>
    <r>
      <rPr>
        <b/>
        <sz val="9"/>
        <color theme="1"/>
        <rFont val="等线"/>
        <family val="3"/>
        <charset val="134"/>
        <scheme val="minor"/>
      </rPr>
      <t>1. 调整时间周期</t>
    </r>
    <r>
      <rPr>
        <sz val="9"/>
        <color theme="1"/>
        <rFont val="等线"/>
        <family val="3"/>
        <charset val="134"/>
        <scheme val="minor"/>
      </rPr>
      <t xml:space="preserve">
广州企业职工养老 / 失业 / 工伤每年 7 月统一调整一次基数，执行周期：当年 7 月 — 次年 6 月；一年仅一次年度普调，中途不改动。
</t>
    </r>
    <r>
      <rPr>
        <b/>
        <sz val="9"/>
        <color theme="1"/>
        <rFont val="等线"/>
        <family val="3"/>
        <charset val="134"/>
        <scheme val="minor"/>
      </rPr>
      <t>2. 基数计算公式（第二年核定逻辑）</t>
    </r>
    <r>
      <rPr>
        <sz val="9"/>
        <color theme="1"/>
        <rFont val="等线"/>
        <family val="3"/>
        <charset val="134"/>
        <scheme val="minor"/>
      </rPr>
      <t xml:space="preserve">
</t>
    </r>
    <r>
      <rPr>
        <b/>
        <sz val="9"/>
        <color theme="1"/>
        <rFont val="等线"/>
        <family val="3"/>
        <charset val="134"/>
        <scheme val="minor"/>
      </rPr>
      <t>情况 1：</t>
    </r>
    <r>
      <rPr>
        <sz val="9"/>
        <color theme="1"/>
        <rFont val="等线"/>
        <family val="3"/>
        <charset val="134"/>
        <scheme val="minor"/>
      </rPr>
      <t xml:space="preserve">入职满完整 12 个月（次年普调标准算法）
新缴费基数 = 上一自然年度（1–12 月）全部工资性总收入 ÷ 12
工资性收入包含：基本工资、绩效、全勤、交通 / 餐补、加班费、季度奖、年终奖、提成等全部税前劳动报酬，不含个税、个人社保公积金扣除额。
举例：员工当年每月应发 5500，年终奖金 6000
全年总收入 = 5500×12+6000=72000
次年新基数 = 72000÷12=6000 元
</t>
    </r>
    <r>
      <rPr>
        <b/>
        <sz val="9"/>
        <color theme="1"/>
        <rFont val="等线"/>
        <family val="3"/>
        <charset val="134"/>
        <scheme val="minor"/>
      </rPr>
      <t>情况 2：</t>
    </r>
    <r>
      <rPr>
        <sz val="9"/>
        <color theme="1"/>
        <rFont val="等线"/>
        <family val="3"/>
        <charset val="134"/>
        <scheme val="minor"/>
      </rPr>
      <t>入职未满完整 12 个月（入职当年次年 7 月调基数）
基数 = 入职后实际发放月份全部工资总额 ÷ 实际在岗月数
例：8 月入职，当年只发 5 个月工资，总发放 30000，次年基数 = 30000÷5=6000 元</t>
    </r>
    <phoneticPr fontId="1" type="noConversion"/>
  </si>
  <si>
    <r>
      <rPr>
        <b/>
        <sz val="11"/>
        <color theme="1"/>
        <rFont val="等线"/>
        <family val="3"/>
        <charset val="134"/>
        <scheme val="minor"/>
      </rPr>
      <t>单位</t>
    </r>
    <r>
      <rPr>
        <sz val="11"/>
        <color theme="1"/>
        <rFont val="等线"/>
        <family val="2"/>
        <scheme val="minor"/>
      </rPr>
      <t>缴纳</t>
    </r>
    <r>
      <rPr>
        <b/>
        <sz val="11"/>
        <color rgb="FFFF0000"/>
        <rFont val="等线"/>
        <family val="3"/>
        <charset val="134"/>
        <scheme val="minor"/>
      </rPr>
      <t>总</t>
    </r>
    <r>
      <rPr>
        <sz val="11"/>
        <color theme="1"/>
        <rFont val="等线"/>
        <family val="2"/>
        <scheme val="minor"/>
      </rPr>
      <t>金额</t>
    </r>
    <phoneticPr fontId="1" type="noConversion"/>
  </si>
  <si>
    <r>
      <rPr>
        <b/>
        <sz val="11"/>
        <color theme="1"/>
        <rFont val="等线"/>
        <family val="3"/>
        <charset val="134"/>
        <scheme val="minor"/>
      </rPr>
      <t>个人</t>
    </r>
    <r>
      <rPr>
        <sz val="11"/>
        <color theme="1"/>
        <rFont val="等线"/>
        <family val="2"/>
        <scheme val="minor"/>
      </rPr>
      <t>缴纳</t>
    </r>
    <r>
      <rPr>
        <b/>
        <sz val="11"/>
        <color rgb="FFFF0000"/>
        <rFont val="等线"/>
        <family val="3"/>
        <charset val="134"/>
        <scheme val="minor"/>
      </rPr>
      <t>总</t>
    </r>
    <r>
      <rPr>
        <sz val="11"/>
        <color theme="1"/>
        <rFont val="等线"/>
        <family val="2"/>
        <scheme val="minor"/>
      </rPr>
      <t>金额</t>
    </r>
    <phoneticPr fontId="1" type="noConversion"/>
  </si>
  <si>
    <r>
      <t xml:space="preserve">每年普调缴费基数时，相较于上一年的涨幅
</t>
    </r>
    <r>
      <rPr>
        <sz val="9"/>
        <color rgb="FFFF0000"/>
        <rFont val="等线"/>
        <family val="3"/>
        <charset val="134"/>
        <scheme val="minor"/>
      </rPr>
      <t>（根据个人情况填写，不懂可以看最下方的规则）</t>
    </r>
    <phoneticPr fontId="1" type="noConversion"/>
  </si>
  <si>
    <t>缴费年数</t>
    <phoneticPr fontId="1" type="noConversion"/>
  </si>
  <si>
    <t>当年缴费金额</t>
    <phoneticPr fontId="1" type="noConversion"/>
  </si>
  <si>
    <t>累计缴费金额</t>
    <phoneticPr fontId="1" type="noConversion"/>
  </si>
  <si>
    <t>法定退休年龄</t>
    <phoneticPr fontId="1" type="noConversion"/>
  </si>
  <si>
    <r>
      <t xml:space="preserve">缴纳社保年数
</t>
    </r>
    <r>
      <rPr>
        <sz val="9"/>
        <color rgb="FFFF0000"/>
        <rFont val="等线"/>
        <family val="3"/>
        <charset val="134"/>
        <scheme val="minor"/>
      </rPr>
      <t>（根据个人情况填写）</t>
    </r>
    <phoneticPr fontId="1" type="noConversion"/>
  </si>
  <si>
    <t>每年退休金，相较于上一年的涨幅</t>
    <phoneticPr fontId="1" type="noConversion"/>
  </si>
  <si>
    <t>社保缴费金额计算</t>
    <phoneticPr fontId="1" type="noConversion"/>
  </si>
  <si>
    <t>退休金金额计算</t>
    <phoneticPr fontId="1" type="noConversion"/>
  </si>
  <si>
    <t>发放年数</t>
    <phoneticPr fontId="1" type="noConversion"/>
  </si>
  <si>
    <t>当年发放金额</t>
    <phoneticPr fontId="1" type="noConversion"/>
  </si>
  <si>
    <t>累计发放金额</t>
    <phoneticPr fontId="1" type="noConversion"/>
  </si>
  <si>
    <t>刚退休时的退休金金额(月)</t>
    <phoneticPr fontId="1" type="noConversion"/>
  </si>
  <si>
    <r>
      <t>缴够年数后的</t>
    </r>
    <r>
      <rPr>
        <b/>
        <sz val="11"/>
        <color rgb="FFFF0000"/>
        <rFont val="等线"/>
        <family val="3"/>
        <charset val="134"/>
        <scheme val="minor"/>
      </rPr>
      <t>社保总缴纳金额</t>
    </r>
    <phoneticPr fontId="1" type="noConversion"/>
  </si>
  <si>
    <t>判断</t>
    <phoneticPr fontId="1" type="noConversion"/>
  </si>
  <si>
    <t>回本岁数</t>
    <phoneticPr fontId="1" type="noConversion"/>
  </si>
  <si>
    <t>当前计算标准（2026年，广州，普通企业在职职工）：
1、企业职工基本养老保险缴费基数：下限 5510 元，上限 27549 元
2、企业职工基本养老保险缴费比例，单位比例：16%，个人比例：8%
3、失业保险缴费基数：下限 2500 元，上限 41112 元
4、失业保险缴费比例，单位比例：0.8%，个人比例：0.2%
5、工伤保险缴费基数：下限 2500 元，按行业风险浮动；
6、工伤保险缴费比例，单位比例：0.2%–1.4%（分 8 档），个人不需要缴纳</t>
    <phoneticPr fontId="1" type="noConversion"/>
  </si>
  <si>
    <r>
      <rPr>
        <b/>
        <sz val="14"/>
        <color theme="1"/>
        <rFont val="等线"/>
        <family val="3"/>
        <charset val="134"/>
        <scheme val="minor"/>
      </rPr>
      <t>社保费用计算表</t>
    </r>
    <r>
      <rPr>
        <sz val="11"/>
        <color theme="1"/>
        <rFont val="等线"/>
        <family val="2"/>
        <scheme val="minor"/>
      </rPr>
      <t xml:space="preserve">
制作：ZJHCOFI</t>
    </r>
    <phoneticPr fontId="1" type="noConversion"/>
  </si>
  <si>
    <r>
      <t xml:space="preserve">●参考文献：《关于公布2025年职工基本养老保险缴费基数上下限和基本养老金计发基数有关问题的通知》
https://hrss.gd.gov.cn/zwgk/gsgg/content/post_4789648.html
</t>
    </r>
    <r>
      <rPr>
        <b/>
        <sz val="9"/>
        <color theme="1"/>
        <rFont val="等线"/>
        <family val="3"/>
        <charset val="134"/>
        <scheme val="minor"/>
      </rPr>
      <t xml:space="preserve">●社保缴费明细查询（广东）：
</t>
    </r>
    <r>
      <rPr>
        <b/>
        <sz val="9"/>
        <rFont val="等线"/>
        <family val="3"/>
        <charset val="134"/>
        <scheme val="minor"/>
      </rPr>
      <t>https://ggfw.hrss.gd.gov.cn/gdggfw/theme-service-module/service-menus?moduleId=2</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</si>
</sst>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0.00_ ;_ &quot;¥&quot;* \-#,##0.00_ ;_ &quot;¥&quot;* &quot;-&quot;??_ ;_ @_ "/>
    <numFmt numFmtId="176" formatCode="0.0%"/>
    <numFmt numFmtId="180" formatCode="0_);[Red]\(0\)"/>
  </numFmts>
  <fonts count="15" x14ac:knownFonts="1">
    <font>
      <sz val="11"/>
      <color theme="1"/>
      <name val="等线"/>
      <family val="2"/>
      <scheme val="minor"/>
    </font>
    <font>
      <sz val="9"/>
      <name val="等线"/>
      <family val="3"/>
      <charset val="134"/>
      <scheme val="minor"/>
    </font>
    <font>
      <b/>
      <sz val="14"/>
      <color theme="1"/>
      <name val="等线"/>
      <family val="3"/>
      <charset val="134"/>
      <scheme val="minor"/>
    </font>
    <font>
      <sz val="11"/>
      <color theme="1"/>
      <name val="等线"/>
      <family val="3"/>
      <charset val="134"/>
      <scheme val="minor"/>
    </font>
    <font>
      <b/>
      <sz val="11"/>
      <color theme="1"/>
      <name val="等线"/>
      <family val="3"/>
      <charset val="134"/>
      <scheme val="minor"/>
    </font>
    <font>
      <b/>
      <sz val="11"/>
      <name val="等线"/>
      <family val="3"/>
      <charset val="134"/>
      <scheme val="minor"/>
    </font>
    <font>
      <b/>
      <sz val="11"/>
      <color rgb="FFFF0000"/>
      <name val="等线"/>
      <family val="3"/>
      <charset val="134"/>
      <scheme val="minor"/>
    </font>
    <font>
      <b/>
      <sz val="10"/>
      <color theme="1"/>
      <name val="等线"/>
      <family val="3"/>
      <charset val="134"/>
      <scheme val="minor"/>
    </font>
    <font>
      <sz val="9"/>
      <color theme="1"/>
      <name val="等线"/>
      <family val="3"/>
      <charset val="134"/>
      <scheme val="minor"/>
    </font>
    <font>
      <sz val="9"/>
      <color theme="1"/>
      <name val="等线"/>
      <family val="2"/>
      <scheme val="minor"/>
    </font>
    <font>
      <b/>
      <sz val="12"/>
      <color rgb="FFFF0000"/>
      <name val="等线"/>
      <family val="3"/>
      <charset val="134"/>
      <scheme val="minor"/>
    </font>
    <font>
      <b/>
      <sz val="9"/>
      <color theme="1"/>
      <name val="等线"/>
      <family val="3"/>
      <charset val="134"/>
      <scheme val="minor"/>
    </font>
    <font>
      <sz val="9"/>
      <color rgb="FFFF0000"/>
      <name val="等线"/>
      <family val="3"/>
      <charset val="134"/>
      <scheme val="minor"/>
    </font>
    <font>
      <b/>
      <sz val="12"/>
      <color theme="1"/>
      <name val="等线"/>
      <family val="3"/>
      <charset val="134"/>
      <scheme val="minor"/>
    </font>
    <font>
      <b/>
      <sz val="9"/>
      <name val="等线"/>
      <family val="3"/>
      <charset val="134"/>
      <scheme val="minor"/>
    </font>
  </fonts>
  <fills count="5">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s>
  <cellStyleXfs count="1">
    <xf numFmtId="0" fontId="0" fillId="0" borderId="0"/>
  </cellStyleXfs>
  <cellXfs count="59">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Fill="1" applyBorder="1" applyAlignment="1">
      <alignment horizontal="center" vertical="center"/>
    </xf>
    <xf numFmtId="176" fontId="0" fillId="2" borderId="1" xfId="0" applyNumberFormat="1" applyFill="1" applyBorder="1" applyAlignment="1">
      <alignment horizontal="center" vertical="center"/>
    </xf>
    <xf numFmtId="0" fontId="0" fillId="0" borderId="1" xfId="0"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0" fontId="9"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6" fillId="0" borderId="1" xfId="0" applyFont="1" applyBorder="1" applyAlignment="1">
      <alignment horizontal="center" vertical="center" wrapText="1"/>
    </xf>
    <xf numFmtId="44" fontId="4" fillId="0" borderId="1" xfId="0" applyNumberFormat="1" applyFont="1" applyBorder="1" applyAlignment="1">
      <alignment horizontal="center" vertical="center"/>
    </xf>
    <xf numFmtId="44" fontId="10" fillId="4" borderId="1" xfId="0" applyNumberFormat="1" applyFont="1" applyFill="1" applyBorder="1" applyAlignment="1">
      <alignment horizontal="center" vertical="center"/>
    </xf>
    <xf numFmtId="44" fontId="0" fillId="2" borderId="1" xfId="0" applyNumberFormat="1" applyFill="1" applyBorder="1" applyAlignment="1">
      <alignment horizontal="center" vertical="center"/>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44" fontId="0" fillId="0" borderId="1" xfId="0" applyNumberFormat="1" applyBorder="1"/>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44" fontId="5" fillId="0" borderId="1" xfId="0" applyNumberFormat="1" applyFont="1" applyBorder="1" applyAlignment="1">
      <alignment horizontal="center" vertical="center"/>
    </xf>
    <xf numFmtId="0" fontId="0" fillId="0" borderId="1" xfId="0" applyBorder="1"/>
    <xf numFmtId="0" fontId="0" fillId="0" borderId="4" xfId="0" applyBorder="1" applyAlignment="1">
      <alignment horizontal="center"/>
    </xf>
    <xf numFmtId="0" fontId="0" fillId="0" borderId="3" xfId="0" applyBorder="1" applyAlignment="1">
      <alignment horizontal="center" vertical="center"/>
    </xf>
    <xf numFmtId="180" fontId="10" fillId="4" borderId="2" xfId="0" applyNumberFormat="1" applyFont="1" applyFill="1" applyBorder="1" applyAlignment="1">
      <alignment horizontal="center" vertical="center"/>
    </xf>
    <xf numFmtId="180" fontId="10" fillId="4" borderId="3" xfId="0" applyNumberFormat="1" applyFont="1" applyFill="1" applyBorder="1" applyAlignment="1">
      <alignment horizontal="center" vertical="center"/>
    </xf>
    <xf numFmtId="180" fontId="10" fillId="4" borderId="4" xfId="0" applyNumberFormat="1" applyFont="1" applyFill="1" applyBorder="1" applyAlignment="1">
      <alignment horizontal="center" vertical="center"/>
    </xf>
    <xf numFmtId="0" fontId="0" fillId="0" borderId="14" xfId="0" applyBorder="1" applyAlignment="1">
      <alignment horizontal="center" vertical="center"/>
    </xf>
    <xf numFmtId="44" fontId="0" fillId="2" borderId="14" xfId="0" applyNumberFormat="1" applyFill="1" applyBorder="1" applyAlignment="1">
      <alignment horizontal="center" vertical="center"/>
    </xf>
    <xf numFmtId="0" fontId="0" fillId="0" borderId="14" xfId="0" applyFill="1" applyBorder="1" applyAlignment="1">
      <alignment horizontal="center" vertical="center"/>
    </xf>
    <xf numFmtId="176" fontId="0" fillId="2" borderId="14" xfId="0" applyNumberFormat="1" applyFill="1"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176" fontId="0" fillId="2" borderId="5" xfId="0" applyNumberFormat="1" applyFill="1" applyBorder="1" applyAlignment="1">
      <alignment horizontal="center" vertical="center"/>
    </xf>
    <xf numFmtId="0" fontId="0" fillId="0" borderId="16" xfId="0" applyBorder="1" applyAlignment="1">
      <alignment horizontal="center" vertical="center"/>
    </xf>
    <xf numFmtId="0" fontId="0" fillId="2" borderId="5" xfId="0" applyFill="1" applyBorder="1" applyAlignment="1">
      <alignment horizontal="center" vertical="center"/>
    </xf>
    <xf numFmtId="0" fontId="0" fillId="0" borderId="6" xfId="0" applyBorder="1" applyAlignment="1">
      <alignment horizontal="center" vertical="center" wrapText="1"/>
    </xf>
    <xf numFmtId="44" fontId="5" fillId="0" borderId="7" xfId="0" applyNumberFormat="1" applyFont="1" applyBorder="1" applyAlignment="1">
      <alignment horizontal="center" vertical="center"/>
    </xf>
    <xf numFmtId="0" fontId="0" fillId="0" borderId="7" xfId="0" applyBorder="1" applyAlignment="1">
      <alignment horizontal="center" vertical="center" wrapText="1"/>
    </xf>
    <xf numFmtId="44" fontId="4" fillId="0" borderId="7" xfId="0" applyNumberFormat="1" applyFont="1" applyBorder="1" applyAlignment="1">
      <alignment horizontal="center" vertical="center"/>
    </xf>
    <xf numFmtId="44" fontId="4" fillId="0" borderId="8" xfId="0" applyNumberFormat="1" applyFont="1" applyBorder="1" applyAlignment="1">
      <alignment horizontal="center" vertical="center"/>
    </xf>
    <xf numFmtId="0" fontId="0" fillId="0" borderId="9" xfId="0" applyBorder="1" applyAlignment="1">
      <alignment horizontal="center" vertical="center" wrapText="1"/>
    </xf>
    <xf numFmtId="44" fontId="4" fillId="0" borderId="10" xfId="0" applyNumberFormat="1" applyFont="1" applyBorder="1" applyAlignment="1">
      <alignment horizontal="center" vertical="center"/>
    </xf>
    <xf numFmtId="44" fontId="6" fillId="0" borderId="10" xfId="0" applyNumberFormat="1" applyFont="1" applyFill="1" applyBorder="1" applyAlignment="1">
      <alignment horizontal="center" vertical="center"/>
    </xf>
    <xf numFmtId="0" fontId="6" fillId="0" borderId="11" xfId="0" applyFont="1" applyBorder="1" applyAlignment="1">
      <alignment horizontal="center" vertical="center" wrapText="1"/>
    </xf>
    <xf numFmtId="44" fontId="6" fillId="4" borderId="12" xfId="0" applyNumberFormat="1" applyFont="1" applyFill="1" applyBorder="1" applyAlignment="1">
      <alignment horizontal="center" vertical="center"/>
    </xf>
    <xf numFmtId="0" fontId="3" fillId="0" borderId="12" xfId="0" applyFont="1" applyBorder="1" applyAlignment="1">
      <alignment horizontal="center" vertical="center" wrapText="1"/>
    </xf>
    <xf numFmtId="44" fontId="4" fillId="0" borderId="17" xfId="0" applyNumberFormat="1" applyFont="1" applyBorder="1" applyAlignment="1">
      <alignment horizontal="center" vertical="center"/>
    </xf>
    <xf numFmtId="44" fontId="4" fillId="0" borderId="13" xfId="0" applyNumberFormat="1"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53340</xdr:colOff>
      <xdr:row>1</xdr:row>
      <xdr:rowOff>22860</xdr:rowOff>
    </xdr:from>
    <xdr:to>
      <xdr:col>17</xdr:col>
      <xdr:colOff>571900</xdr:colOff>
      <xdr:row>7</xdr:row>
      <xdr:rowOff>15240</xdr:rowOff>
    </xdr:to>
    <xdr:pic>
      <xdr:nvPicPr>
        <xdr:cNvPr id="2" name="图片 1">
          <a:extLst>
            <a:ext uri="{FF2B5EF4-FFF2-40B4-BE49-F238E27FC236}">
              <a16:creationId xmlns:a16="http://schemas.microsoft.com/office/drawing/2014/main" id="{6C996507-C9DB-0F82-7F7A-0356E04B6DC2}"/>
            </a:ext>
          </a:extLst>
        </xdr:cNvPr>
        <xdr:cNvPicPr>
          <a:picLocks noChangeAspect="1"/>
        </xdr:cNvPicPr>
      </xdr:nvPicPr>
      <xdr:blipFill>
        <a:blip xmlns:r="http://schemas.openxmlformats.org/officeDocument/2006/relationships" r:embed="rId1"/>
        <a:stretch>
          <a:fillRect/>
        </a:stretch>
      </xdr:blipFill>
      <xdr:spPr>
        <a:xfrm>
          <a:off x="8877300" y="198120"/>
          <a:ext cx="6004960" cy="30708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7"/>
  <sheetViews>
    <sheetView showGridLines="0" tabSelected="1" workbookViewId="0">
      <pane ySplit="2" topLeftCell="A3" activePane="bottomLeft" state="frozen"/>
      <selection pane="bottomLeft" activeCell="B3" sqref="B3:G3"/>
    </sheetView>
  </sheetViews>
  <sheetFormatPr defaultRowHeight="13.8" x14ac:dyDescent="0.25"/>
  <cols>
    <col min="1" max="1" width="2.77734375" customWidth="1"/>
    <col min="2" max="2" width="27.109375" bestFit="1" customWidth="1"/>
    <col min="3" max="3" width="13" customWidth="1"/>
    <col min="4" max="4" width="27.109375" bestFit="1" customWidth="1"/>
    <col min="5" max="5" width="11.109375" customWidth="1"/>
    <col min="6" max="6" width="29.5546875" customWidth="1"/>
    <col min="7" max="7" width="15" customWidth="1"/>
    <col min="8" max="8" width="3" customWidth="1"/>
  </cols>
  <sheetData>
    <row r="2" spans="2:7" ht="38.4" customHeight="1" x14ac:dyDescent="0.25">
      <c r="B2" s="11" t="s">
        <v>35</v>
      </c>
      <c r="C2" s="12"/>
      <c r="D2" s="12"/>
      <c r="E2" s="12"/>
      <c r="F2" s="12"/>
      <c r="G2" s="12"/>
    </row>
    <row r="3" spans="2:7" ht="52.8" customHeight="1" x14ac:dyDescent="0.25">
      <c r="B3" s="8" t="s">
        <v>36</v>
      </c>
      <c r="C3" s="9"/>
      <c r="D3" s="9"/>
      <c r="E3" s="9"/>
      <c r="F3" s="9"/>
      <c r="G3" s="9"/>
    </row>
    <row r="4" spans="2:7" ht="86.4" customHeight="1" x14ac:dyDescent="0.25">
      <c r="B4" s="10" t="s">
        <v>34</v>
      </c>
      <c r="C4" s="8"/>
      <c r="D4" s="8"/>
      <c r="E4" s="8"/>
      <c r="F4" s="8"/>
      <c r="G4" s="8"/>
    </row>
    <row r="5" spans="2:7" ht="24" customHeight="1" x14ac:dyDescent="0.25">
      <c r="B5" s="27" t="s">
        <v>5</v>
      </c>
      <c r="C5" s="28"/>
      <c r="D5" s="28"/>
      <c r="E5" s="28"/>
      <c r="F5" s="28"/>
      <c r="G5" s="29"/>
    </row>
    <row r="6" spans="2:7" s="2" customFormat="1" ht="20.399999999999999" customHeight="1" x14ac:dyDescent="0.25">
      <c r="B6" s="3" t="s">
        <v>4</v>
      </c>
      <c r="C6" s="16">
        <v>5500</v>
      </c>
      <c r="D6" s="5" t="s">
        <v>0</v>
      </c>
      <c r="E6" s="6">
        <v>0.16</v>
      </c>
      <c r="F6" s="3" t="s">
        <v>1</v>
      </c>
      <c r="G6" s="6">
        <v>0.08</v>
      </c>
    </row>
    <row r="7" spans="2:7" ht="20.399999999999999" customHeight="1" x14ac:dyDescent="0.25">
      <c r="B7" s="3" t="s">
        <v>2</v>
      </c>
      <c r="C7" s="16">
        <v>5500</v>
      </c>
      <c r="D7" s="5" t="s">
        <v>0</v>
      </c>
      <c r="E7" s="6">
        <v>8.0000000000000002E-3</v>
      </c>
      <c r="F7" s="3" t="s">
        <v>1</v>
      </c>
      <c r="G7" s="6">
        <v>2E-3</v>
      </c>
    </row>
    <row r="8" spans="2:7" ht="20.399999999999999" customHeight="1" thickBot="1" x14ac:dyDescent="0.3">
      <c r="B8" s="37" t="s">
        <v>3</v>
      </c>
      <c r="C8" s="38">
        <v>5500</v>
      </c>
      <c r="D8" s="39" t="s">
        <v>0</v>
      </c>
      <c r="E8" s="40">
        <v>4.0000000000000001E-3</v>
      </c>
      <c r="F8" s="37"/>
      <c r="G8" s="37"/>
    </row>
    <row r="9" spans="2:7" ht="20.399999999999999" customHeight="1" x14ac:dyDescent="0.25">
      <c r="B9" s="46" t="s">
        <v>11</v>
      </c>
      <c r="C9" s="47">
        <f>E9+G9</f>
        <v>1320</v>
      </c>
      <c r="D9" s="48" t="s">
        <v>10</v>
      </c>
      <c r="E9" s="49">
        <f>C6*E6</f>
        <v>880</v>
      </c>
      <c r="F9" s="48" t="s">
        <v>6</v>
      </c>
      <c r="G9" s="50">
        <f>C6*G6</f>
        <v>440</v>
      </c>
    </row>
    <row r="10" spans="2:7" ht="20.399999999999999" customHeight="1" x14ac:dyDescent="0.25">
      <c r="B10" s="51" t="s">
        <v>12</v>
      </c>
      <c r="C10" s="30">
        <f>E10+G10</f>
        <v>55</v>
      </c>
      <c r="D10" s="7" t="s">
        <v>9</v>
      </c>
      <c r="E10" s="14">
        <f>C7*E7</f>
        <v>44</v>
      </c>
      <c r="F10" s="7" t="s">
        <v>7</v>
      </c>
      <c r="G10" s="52">
        <f>C7*G7</f>
        <v>11</v>
      </c>
    </row>
    <row r="11" spans="2:7" ht="20.399999999999999" customHeight="1" x14ac:dyDescent="0.25">
      <c r="B11" s="51" t="s">
        <v>13</v>
      </c>
      <c r="C11" s="30">
        <f>E11</f>
        <v>22</v>
      </c>
      <c r="D11" s="7" t="s">
        <v>8</v>
      </c>
      <c r="E11" s="14">
        <f>C8*E8</f>
        <v>22</v>
      </c>
      <c r="F11" s="13"/>
      <c r="G11" s="53"/>
    </row>
    <row r="12" spans="2:7" ht="20.399999999999999" customHeight="1" thickBot="1" x14ac:dyDescent="0.3">
      <c r="B12" s="54" t="s">
        <v>14</v>
      </c>
      <c r="C12" s="55">
        <f>E12+G12</f>
        <v>1397</v>
      </c>
      <c r="D12" s="56" t="s">
        <v>16</v>
      </c>
      <c r="E12" s="57">
        <f>SUM(E9:E11)</f>
        <v>946</v>
      </c>
      <c r="F12" s="56" t="s">
        <v>17</v>
      </c>
      <c r="G12" s="58">
        <f>SUM(G9:G11)</f>
        <v>451</v>
      </c>
    </row>
    <row r="13" spans="2:7" ht="30" customHeight="1" x14ac:dyDescent="0.25">
      <c r="B13" s="41" t="s">
        <v>18</v>
      </c>
      <c r="C13" s="42"/>
      <c r="D13" s="43">
        <v>0.03</v>
      </c>
      <c r="E13" s="41" t="s">
        <v>23</v>
      </c>
      <c r="F13" s="44"/>
      <c r="G13" s="45">
        <v>20</v>
      </c>
    </row>
    <row r="14" spans="2:7" ht="20.399999999999999" customHeight="1" x14ac:dyDescent="0.25">
      <c r="B14" s="20" t="s">
        <v>31</v>
      </c>
      <c r="C14" s="21"/>
      <c r="D14" s="15">
        <f>VLOOKUP(社保费用计算表!G13,每年金额计算!B:D,3,0)</f>
        <v>463968.60667126655</v>
      </c>
      <c r="E14" s="20" t="s">
        <v>22</v>
      </c>
      <c r="F14" s="21"/>
      <c r="G14" s="4">
        <v>63</v>
      </c>
    </row>
    <row r="15" spans="2:7" ht="20.399999999999999" customHeight="1" x14ac:dyDescent="0.25">
      <c r="B15" s="20" t="s">
        <v>30</v>
      </c>
      <c r="C15" s="21"/>
      <c r="D15" s="16">
        <v>1600</v>
      </c>
      <c r="E15" s="19" t="s">
        <v>24</v>
      </c>
      <c r="F15" s="21"/>
      <c r="G15" s="6">
        <v>0.02</v>
      </c>
    </row>
    <row r="16" spans="2:7" ht="20.399999999999999" customHeight="1" x14ac:dyDescent="0.25">
      <c r="B16" s="20" t="s">
        <v>33</v>
      </c>
      <c r="C16" s="33"/>
      <c r="D16" s="21"/>
      <c r="E16" s="34">
        <f>IFERROR(INDEX(每年金额计算!E3:E362, MATCH("回本", 每年金额计算!A3:A362, 0)), 0)+G14</f>
        <v>83</v>
      </c>
      <c r="F16" s="35"/>
      <c r="G16" s="36"/>
    </row>
    <row r="17" spans="2:7" ht="155.4" customHeight="1" x14ac:dyDescent="0.25">
      <c r="B17" s="17" t="s">
        <v>15</v>
      </c>
      <c r="C17" s="18"/>
      <c r="D17" s="18"/>
      <c r="E17" s="18"/>
      <c r="F17" s="18"/>
      <c r="G17" s="18"/>
    </row>
    <row r="18" spans="2:7" x14ac:dyDescent="0.25">
      <c r="B18" s="2"/>
      <c r="C18" s="2"/>
      <c r="D18" s="2"/>
      <c r="E18" s="2"/>
      <c r="F18" s="2"/>
      <c r="G18" s="2"/>
    </row>
    <row r="19" spans="2:7" x14ac:dyDescent="0.25">
      <c r="B19" s="2"/>
      <c r="C19" s="2"/>
      <c r="D19" s="2"/>
      <c r="E19" s="2"/>
      <c r="F19" s="2"/>
      <c r="G19" s="2"/>
    </row>
    <row r="20" spans="2:7" x14ac:dyDescent="0.25">
      <c r="B20" s="2"/>
      <c r="C20" s="2"/>
      <c r="D20" s="2"/>
      <c r="E20" s="2"/>
      <c r="F20" s="2"/>
      <c r="G20" s="2"/>
    </row>
    <row r="21" spans="2:7" x14ac:dyDescent="0.25">
      <c r="B21" s="2"/>
      <c r="C21" s="2"/>
      <c r="D21" s="2"/>
      <c r="E21" s="2"/>
      <c r="F21" s="2"/>
      <c r="G21" s="2"/>
    </row>
    <row r="22" spans="2:7" x14ac:dyDescent="0.25">
      <c r="B22" s="1"/>
      <c r="C22" s="1"/>
      <c r="D22" s="1"/>
      <c r="E22" s="1"/>
      <c r="F22" s="1"/>
      <c r="G22" s="1"/>
    </row>
    <row r="23" spans="2:7" x14ac:dyDescent="0.25">
      <c r="B23" s="1"/>
      <c r="C23" s="1"/>
      <c r="D23" s="1"/>
      <c r="E23" s="1"/>
      <c r="F23" s="1"/>
      <c r="G23" s="1"/>
    </row>
    <row r="24" spans="2:7" x14ac:dyDescent="0.25">
      <c r="B24" s="1"/>
      <c r="C24" s="1"/>
      <c r="D24" s="1"/>
      <c r="E24" s="1"/>
      <c r="F24" s="1"/>
      <c r="G24" s="1"/>
    </row>
    <row r="25" spans="2:7" x14ac:dyDescent="0.25">
      <c r="B25" s="1"/>
      <c r="C25" s="1"/>
      <c r="D25" s="1"/>
      <c r="E25" s="1"/>
      <c r="F25" s="1"/>
      <c r="G25" s="1"/>
    </row>
    <row r="26" spans="2:7" x14ac:dyDescent="0.25">
      <c r="B26" s="1"/>
      <c r="C26" s="1"/>
      <c r="D26" s="1"/>
      <c r="E26" s="1"/>
      <c r="F26" s="1"/>
      <c r="G26" s="1"/>
    </row>
    <row r="27" spans="2:7" x14ac:dyDescent="0.25">
      <c r="B27" s="1"/>
      <c r="C27" s="1"/>
      <c r="D27" s="1"/>
      <c r="E27" s="1"/>
      <c r="F27" s="1"/>
      <c r="G27" s="1"/>
    </row>
  </sheetData>
  <sheetProtection algorithmName="SHA-512" hashValue="Hjcjk2YtNoBv0kCLVXNwXhi/+2ZIrPPvB2BekHfUMK8tinaCEMgPIZq7g/6sxmp5ABV1I7n6ralIUTaoOnI+fA==" saltValue="aPvY8lTQe9xK0dPmEzw8Ag==" spinCount="100000" sheet="1" objects="1" scenarios="1"/>
  <protectedRanges>
    <protectedRange sqref="C6:C8 E6:E8 G6:G7 D13 D15 G13:G15 B3" name="可编辑区域"/>
  </protectedRanges>
  <mergeCells count="13">
    <mergeCell ref="E15:F15"/>
    <mergeCell ref="B16:D16"/>
    <mergeCell ref="E16:G16"/>
    <mergeCell ref="B2:G2"/>
    <mergeCell ref="B3:G3"/>
    <mergeCell ref="B4:G4"/>
    <mergeCell ref="B5:G5"/>
    <mergeCell ref="B17:G17"/>
    <mergeCell ref="B13:C13"/>
    <mergeCell ref="E13:F13"/>
    <mergeCell ref="B14:C14"/>
    <mergeCell ref="E14:F14"/>
    <mergeCell ref="B15:C15"/>
  </mergeCells>
  <phoneticPr fontId="1" type="noConversion"/>
  <dataValidations count="7">
    <dataValidation type="decimal" operator="greaterThanOrEqual" allowBlank="1" showErrorMessage="1" errorTitle="缴费基数有错" error="缴费基数需大于等于0" sqref="C8" xr:uid="{312419BB-32F9-42B9-82B1-033D7CBC9C71}">
      <formula1>0</formula1>
    </dataValidation>
    <dataValidation type="decimal" operator="greaterThanOrEqual" allowBlank="1" showErrorMessage="1" errorTitle="缴费基数有错" error="缴费基数需大于等于0" promptTitle="上下限" sqref="C7" xr:uid="{DC13F331-6C47-438F-8EA7-90AE5AB45672}">
      <formula1>0</formula1>
    </dataValidation>
    <dataValidation type="decimal" operator="greaterThanOrEqual" allowBlank="1" showErrorMessage="1" errorTitle="缴费基数有错" error="缴费基数需大于等于0" sqref="C6" xr:uid="{8B362331-02E2-461D-A10C-1A6F63FAC624}">
      <formula1>0</formula1>
    </dataValidation>
    <dataValidation type="whole" allowBlank="1" showErrorMessage="1" errorTitle="年数错误" error="请填写1~60的整数" sqref="G13" xr:uid="{CAAE735E-BA5B-46D3-87D4-6FE007AE56F0}">
      <formula1>1</formula1>
      <formula2>60</formula2>
    </dataValidation>
    <dataValidation type="whole" allowBlank="1" showErrorMessage="1" errorTitle="年龄错误" error="请填写1~160的整数" sqref="G14" xr:uid="{73835188-45DE-4398-A17E-008FF3437AAB}">
      <formula1>1</formula1>
      <formula2>160</formula2>
    </dataValidation>
    <dataValidation type="decimal" allowBlank="1" showErrorMessage="1" errorTitle="比例错误" error="请填写0~1之间的数值" sqref="E6:E8 G6:G7 D13 G15" xr:uid="{58CD9200-AAA1-42DD-9186-86BB7930ACFB}">
      <formula1>0</formula1>
      <formula2>1</formula2>
    </dataValidation>
    <dataValidation type="decimal" operator="greaterThanOrEqual" allowBlank="1" showErrorMessage="1" errorTitle="退休金有错" error="退休金金额需大于等于0" sqref="D15" xr:uid="{340E60E3-9441-46D5-9CEC-C2C4134FD0AA}">
      <formula1>0</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843B9-2788-46F1-A3A5-78102BD61769}">
  <dimension ref="A1:G362"/>
  <sheetViews>
    <sheetView showGridLines="0" workbookViewId="0">
      <pane ySplit="2" topLeftCell="A3" activePane="bottomLeft" state="frozen"/>
      <selection pane="bottomLeft" activeCell="E6" sqref="E6"/>
    </sheetView>
  </sheetViews>
  <sheetFormatPr defaultRowHeight="13.8" x14ac:dyDescent="0.25"/>
  <cols>
    <col min="2" max="2" width="9.5546875" bestFit="1" customWidth="1"/>
    <col min="3" max="3" width="16" customWidth="1"/>
    <col min="4" max="4" width="15.33203125" customWidth="1"/>
    <col min="5" max="5" width="9.5546875" bestFit="1" customWidth="1"/>
    <col min="6" max="6" width="13.88671875" bestFit="1" customWidth="1"/>
    <col min="7" max="7" width="18.109375" bestFit="1" customWidth="1"/>
  </cols>
  <sheetData>
    <row r="1" spans="1:7" ht="23.4" customHeight="1" x14ac:dyDescent="0.25">
      <c r="B1" s="23" t="s">
        <v>25</v>
      </c>
      <c r="C1" s="23"/>
      <c r="D1" s="23"/>
      <c r="E1" s="24" t="s">
        <v>26</v>
      </c>
      <c r="F1" s="24"/>
      <c r="G1" s="24"/>
    </row>
    <row r="2" spans="1:7" x14ac:dyDescent="0.25">
      <c r="A2" s="2" t="s">
        <v>32</v>
      </c>
      <c r="B2" s="25" t="s">
        <v>19</v>
      </c>
      <c r="C2" s="25" t="s">
        <v>20</v>
      </c>
      <c r="D2" s="25" t="s">
        <v>21</v>
      </c>
      <c r="E2" s="26" t="s">
        <v>27</v>
      </c>
      <c r="F2" s="26" t="s">
        <v>28</v>
      </c>
      <c r="G2" s="26" t="s">
        <v>29</v>
      </c>
    </row>
    <row r="3" spans="1:7" x14ac:dyDescent="0.25">
      <c r="A3" s="3" t="str">
        <f>IF(G3&gt;社保费用计算表!D14,"回本","亏本")</f>
        <v>亏本</v>
      </c>
      <c r="B3" s="32">
        <v>1</v>
      </c>
      <c r="C3" s="22">
        <f>(社保费用计算表!C12*12)*(1+社保费用计算表!D13)^每年金额计算!B3</f>
        <v>17266.920000000002</v>
      </c>
      <c r="D3" s="22">
        <f>SUM($C$3:C3)</f>
        <v>17266.920000000002</v>
      </c>
      <c r="E3" s="3">
        <v>1</v>
      </c>
      <c r="F3" s="22">
        <f>(社保费用计算表!D15*12)*(1+社保费用计算表!G15)^每年金额计算!E3</f>
        <v>19584</v>
      </c>
      <c r="G3" s="22">
        <f>SUM($F$3:F3)</f>
        <v>19584</v>
      </c>
    </row>
    <row r="4" spans="1:7" x14ac:dyDescent="0.25">
      <c r="A4" s="3" t="str">
        <f>IF(G4&gt;社保费用计算表!D14,"回本","亏本")</f>
        <v>亏本</v>
      </c>
      <c r="B4" s="32">
        <v>2</v>
      </c>
      <c r="C4" s="22">
        <f>(社保费用计算表!C12*12)*(1+社保费用计算表!D13)^每年金额计算!B4</f>
        <v>17784.927599999999</v>
      </c>
      <c r="D4" s="22">
        <f>SUM($C$3:C4)</f>
        <v>35051.847600000001</v>
      </c>
      <c r="E4" s="3">
        <v>2</v>
      </c>
      <c r="F4" s="22">
        <f>(社保费用计算表!D15*12)*(1+社保费用计算表!G15)^每年金额计算!E4</f>
        <v>19975.68</v>
      </c>
      <c r="G4" s="22">
        <f>SUM($F$3:F4)</f>
        <v>39559.68</v>
      </c>
    </row>
    <row r="5" spans="1:7" x14ac:dyDescent="0.25">
      <c r="A5" s="3" t="str">
        <f>IF(G5&gt;社保费用计算表!D14,"回本","亏本")</f>
        <v>亏本</v>
      </c>
      <c r="B5" s="32">
        <v>3</v>
      </c>
      <c r="C5" s="22">
        <f>(社保费用计算表!C12*12)*(1+社保费用计算表!D13)^每年金额计算!B5</f>
        <v>18318.475428000002</v>
      </c>
      <c r="D5" s="22">
        <f>SUM($C$3:C5)</f>
        <v>53370.323027999999</v>
      </c>
      <c r="E5" s="3">
        <v>3</v>
      </c>
      <c r="F5" s="22">
        <f>(社保费用计算表!D15*12)*(1+社保费用计算表!G15)^每年金额计算!E5</f>
        <v>20375.193599999999</v>
      </c>
      <c r="G5" s="22">
        <f>SUM($F$3:F5)</f>
        <v>59934.873599999999</v>
      </c>
    </row>
    <row r="6" spans="1:7" x14ac:dyDescent="0.25">
      <c r="A6" s="3" t="str">
        <f>IF(G6&gt;社保费用计算表!D14,"回本","亏本")</f>
        <v>亏本</v>
      </c>
      <c r="B6" s="32">
        <v>4</v>
      </c>
      <c r="C6" s="22">
        <f>(社保费用计算表!C12*12)*(1+社保费用计算表!D13)^每年金额计算!B6</f>
        <v>18868.029690839998</v>
      </c>
      <c r="D6" s="22">
        <f>SUM($C$3:C6)</f>
        <v>72238.352718840004</v>
      </c>
      <c r="E6" s="3">
        <v>4</v>
      </c>
      <c r="F6" s="22">
        <f>(社保费用计算表!D15*12)*(1+社保费用计算表!G15)^每年金额计算!E6</f>
        <v>20782.697472</v>
      </c>
      <c r="G6" s="22">
        <f>SUM($F$3:F6)</f>
        <v>80717.571071999992</v>
      </c>
    </row>
    <row r="7" spans="1:7" x14ac:dyDescent="0.25">
      <c r="A7" s="3" t="str">
        <f>IF(G7&gt;社保费用计算表!D14,"回本","亏本")</f>
        <v>亏本</v>
      </c>
      <c r="B7" s="32">
        <v>5</v>
      </c>
      <c r="C7" s="22">
        <f>(社保费用计算表!C12*12)*(1+社保费用计算表!D13)^每年金额计算!B7</f>
        <v>19434.070581565196</v>
      </c>
      <c r="D7" s="22">
        <f>SUM($C$3:C7)</f>
        <v>91672.423300405208</v>
      </c>
      <c r="E7" s="3">
        <v>5</v>
      </c>
      <c r="F7" s="22">
        <f>(社保费用计算表!D15*12)*(1+社保费用计算表!G15)^每年金额计算!E7</f>
        <v>21198.351421440002</v>
      </c>
      <c r="G7" s="22">
        <f>SUM($F$3:F7)</f>
        <v>101915.92249344</v>
      </c>
    </row>
    <row r="8" spans="1:7" x14ac:dyDescent="0.25">
      <c r="A8" s="3" t="str">
        <f>IF(G8&gt;社保费用计算表!D14,"回本","亏本")</f>
        <v>亏本</v>
      </c>
      <c r="B8" s="32">
        <v>6</v>
      </c>
      <c r="C8" s="22">
        <f>(社保费用计算表!C12*12)*(1+社保费用计算表!D13)^每年金额计算!B8</f>
        <v>20017.092699012155</v>
      </c>
      <c r="D8" s="22">
        <f>SUM($C$3:C8)</f>
        <v>111689.51599941736</v>
      </c>
      <c r="E8" s="3">
        <v>6</v>
      </c>
      <c r="F8" s="22">
        <f>(社保费用计算表!D15*12)*(1+社保费用计算表!G15)^每年金额计算!E8</f>
        <v>21622.318449868802</v>
      </c>
      <c r="G8" s="22">
        <f>SUM($F$3:F8)</f>
        <v>123538.2409433088</v>
      </c>
    </row>
    <row r="9" spans="1:7" x14ac:dyDescent="0.25">
      <c r="A9" s="3" t="str">
        <f>IF(G9&gt;社保费用计算表!D14,"回本","亏本")</f>
        <v>亏本</v>
      </c>
      <c r="B9" s="32">
        <v>7</v>
      </c>
      <c r="C9" s="22">
        <f>(社保费用计算表!C12*12)*(1+社保费用计算表!D13)^每年金额计算!B9</f>
        <v>20617.605479982522</v>
      </c>
      <c r="D9" s="22">
        <f>SUM($C$3:C9)</f>
        <v>132307.12147939988</v>
      </c>
      <c r="E9" s="3">
        <v>7</v>
      </c>
      <c r="F9" s="22">
        <f>(社保费用计算表!D15*12)*(1+社保费用计算表!G15)^每年金额计算!E9</f>
        <v>22054.764818866173</v>
      </c>
      <c r="G9" s="22">
        <f>SUM($F$3:F9)</f>
        <v>145593.00576217499</v>
      </c>
    </row>
    <row r="10" spans="1:7" x14ac:dyDescent="0.25">
      <c r="A10" s="3" t="str">
        <f>IF(G10&gt;社保费用计算表!D14,"回本","亏本")</f>
        <v>亏本</v>
      </c>
      <c r="B10" s="32">
        <v>8</v>
      </c>
      <c r="C10" s="22">
        <f>(社保费用计算表!C12*12)*(1+社保费用计算表!D13)^每年金额计算!B10</f>
        <v>21236.133644381993</v>
      </c>
      <c r="D10" s="22">
        <f>SUM($C$3:C10)</f>
        <v>153543.25512378188</v>
      </c>
      <c r="E10" s="3">
        <v>8</v>
      </c>
      <c r="F10" s="22">
        <f>(社保费用计算表!D15*12)*(1+社保费用计算表!G15)^每年金额计算!E10</f>
        <v>22495.860115243497</v>
      </c>
      <c r="G10" s="22">
        <f>SUM($F$3:F10)</f>
        <v>168088.86587741849</v>
      </c>
    </row>
    <row r="11" spans="1:7" x14ac:dyDescent="0.25">
      <c r="A11" s="3" t="str">
        <f>IF(G11&gt;社保费用计算表!D14,"回本","亏本")</f>
        <v>亏本</v>
      </c>
      <c r="B11" s="32">
        <v>9</v>
      </c>
      <c r="C11" s="22">
        <f>(社保费用计算表!C12*12)*(1+社保费用计算表!D13)^每年金额计算!B11</f>
        <v>21873.217653713455</v>
      </c>
      <c r="D11" s="22">
        <f>SUM($C$3:C11)</f>
        <v>175416.47277749534</v>
      </c>
      <c r="E11" s="3">
        <v>9</v>
      </c>
      <c r="F11" s="22">
        <f>(社保费用计算表!D15*12)*(1+社保费用计算表!G15)^每年金额计算!E11</f>
        <v>22945.777317548367</v>
      </c>
      <c r="G11" s="22">
        <f>SUM($F$3:F11)</f>
        <v>191034.64319496686</v>
      </c>
    </row>
    <row r="12" spans="1:7" x14ac:dyDescent="0.25">
      <c r="A12" s="3" t="str">
        <f>IF(G12&gt;社保费用计算表!D14,"回本","亏本")</f>
        <v>亏本</v>
      </c>
      <c r="B12" s="32">
        <v>10</v>
      </c>
      <c r="C12" s="22">
        <f>(社保费用计算表!C12*12)*(1+社保费用计算表!D13)^每年金额计算!B12</f>
        <v>22529.414183324858</v>
      </c>
      <c r="D12" s="22">
        <f>SUM($C$3:C12)</f>
        <v>197945.88696082018</v>
      </c>
      <c r="E12" s="3">
        <v>10</v>
      </c>
      <c r="F12" s="22">
        <f>(社保费用计算表!D15*12)*(1+社保费用计算表!G15)^每年金额计算!E12</f>
        <v>23404.692863899338</v>
      </c>
      <c r="G12" s="22">
        <f>SUM($F$3:F12)</f>
        <v>214439.3360588662</v>
      </c>
    </row>
    <row r="13" spans="1:7" x14ac:dyDescent="0.25">
      <c r="A13" s="3" t="str">
        <f>IF(G13&gt;社保费用计算表!D14,"回本","亏本")</f>
        <v>亏本</v>
      </c>
      <c r="B13" s="32">
        <v>11</v>
      </c>
      <c r="C13" s="22">
        <f>(社保费用计算表!C12*12)*(1+社保费用计算表!D13)^每年金额计算!B13</f>
        <v>23205.296608824603</v>
      </c>
      <c r="D13" s="22">
        <f>SUM($C$3:C13)</f>
        <v>221151.18356964478</v>
      </c>
      <c r="E13" s="3">
        <v>11</v>
      </c>
      <c r="F13" s="22">
        <f>(社保费用计算表!D15*12)*(1+社保费用计算表!G15)^每年金额计算!E13</f>
        <v>23872.786721177319</v>
      </c>
      <c r="G13" s="22">
        <f>SUM($F$3:F13)</f>
        <v>238312.12278004352</v>
      </c>
    </row>
    <row r="14" spans="1:7" x14ac:dyDescent="0.25">
      <c r="A14" s="3" t="str">
        <f>IF(G14&gt;社保费用计算表!D14,"回本","亏本")</f>
        <v>亏本</v>
      </c>
      <c r="B14" s="32">
        <v>12</v>
      </c>
      <c r="C14" s="22">
        <f>(社保费用计算表!C12*12)*(1+社保费用计算表!D13)^每年金额计算!B14</f>
        <v>23901.45550708934</v>
      </c>
      <c r="D14" s="22">
        <f>SUM($C$3:C14)</f>
        <v>245052.63907673414</v>
      </c>
      <c r="E14" s="3">
        <v>12</v>
      </c>
      <c r="F14" s="22">
        <f>(社保费用计算表!D15*12)*(1+社保费用计算表!G15)^每年金额计算!E14</f>
        <v>24350.24245560087</v>
      </c>
      <c r="G14" s="22">
        <f>SUM($F$3:F14)</f>
        <v>262662.36523564439</v>
      </c>
    </row>
    <row r="15" spans="1:7" x14ac:dyDescent="0.25">
      <c r="A15" s="3" t="str">
        <f>IF(G15&gt;社保费用计算表!D14,"回本","亏本")</f>
        <v>亏本</v>
      </c>
      <c r="B15" s="32">
        <v>13</v>
      </c>
      <c r="C15" s="22">
        <f>(社保费用计算表!C12*12)*(1+社保费用计算表!D13)^每年金额计算!B15</f>
        <v>24618.499172302018</v>
      </c>
      <c r="D15" s="22">
        <f>SUM($C$3:C15)</f>
        <v>269671.13824903616</v>
      </c>
      <c r="E15" s="3">
        <v>13</v>
      </c>
      <c r="F15" s="22">
        <f>(社保费用计算表!D15*12)*(1+社保费用计算表!G15)^每年金额计算!E15</f>
        <v>24837.247304712884</v>
      </c>
      <c r="G15" s="22">
        <f>SUM($F$3:F15)</f>
        <v>287499.61254035728</v>
      </c>
    </row>
    <row r="16" spans="1:7" x14ac:dyDescent="0.25">
      <c r="A16" s="3" t="str">
        <f>IF(G16&gt;社保费用计算表!D14,"回本","亏本")</f>
        <v>亏本</v>
      </c>
      <c r="B16" s="32">
        <v>14</v>
      </c>
      <c r="C16" s="22">
        <f>(社保费用计算表!C12*12)*(1+社保费用计算表!D13)^每年金额计算!B16</f>
        <v>25357.054147471081</v>
      </c>
      <c r="D16" s="22">
        <f>SUM($C$3:C16)</f>
        <v>295028.19239650725</v>
      </c>
      <c r="E16" s="3">
        <v>14</v>
      </c>
      <c r="F16" s="22">
        <f>(社保费用计算表!D15*12)*(1+社保费用计算表!G15)^每年金额计算!E16</f>
        <v>25333.992250807147</v>
      </c>
      <c r="G16" s="22">
        <f>SUM($F$3:F16)</f>
        <v>312833.6047911644</v>
      </c>
    </row>
    <row r="17" spans="1:7" x14ac:dyDescent="0.25">
      <c r="A17" s="3" t="str">
        <f>IF(G17&gt;社保费用计算表!D14,"回本","亏本")</f>
        <v>亏本</v>
      </c>
      <c r="B17" s="32">
        <v>15</v>
      </c>
      <c r="C17" s="22">
        <f>(社保费用计算表!C12*12)*(1+社保费用计算表!D13)^每年金额计算!B17</f>
        <v>26117.765771895214</v>
      </c>
      <c r="D17" s="22">
        <f>SUM($C$3:C17)</f>
        <v>321145.95816840249</v>
      </c>
      <c r="E17" s="3">
        <v>15</v>
      </c>
      <c r="F17" s="22">
        <f>(社保费用计算表!D15*12)*(1+社保费用计算表!G15)^每年金额计算!E17</f>
        <v>25840.67209582328</v>
      </c>
      <c r="G17" s="22">
        <f>SUM($F$3:F17)</f>
        <v>338674.27688698767</v>
      </c>
    </row>
    <row r="18" spans="1:7" x14ac:dyDescent="0.25">
      <c r="A18" s="3" t="str">
        <f>IF(G18&gt;社保费用计算表!D14,"回本","亏本")</f>
        <v>亏本</v>
      </c>
      <c r="B18" s="32">
        <v>16</v>
      </c>
      <c r="C18" s="22">
        <f>(社保费用计算表!C12*12)*(1+社保费用计算表!D13)^每年金额计算!B18</f>
        <v>26901.298745052067</v>
      </c>
      <c r="D18" s="22">
        <f>SUM($C$3:C18)</f>
        <v>348047.25691345456</v>
      </c>
      <c r="E18" s="3">
        <v>16</v>
      </c>
      <c r="F18" s="22">
        <f>(社保费用计算表!D15*12)*(1+社保费用计算表!G15)^每年金额计算!E18</f>
        <v>26357.485537739751</v>
      </c>
      <c r="G18" s="22">
        <f>SUM($F$3:F18)</f>
        <v>365031.76242472744</v>
      </c>
    </row>
    <row r="19" spans="1:7" x14ac:dyDescent="0.25">
      <c r="A19" s="3" t="str">
        <f>IF(G19&gt;社保费用计算表!D14,"回本","亏本")</f>
        <v>亏本</v>
      </c>
      <c r="B19" s="32">
        <v>17</v>
      </c>
      <c r="C19" s="22">
        <f>(社保费用计算表!C12*12)*(1+社保费用计算表!D13)^每年金额计算!B19</f>
        <v>27708.337707403629</v>
      </c>
      <c r="D19" s="22">
        <f>SUM($C$3:C19)</f>
        <v>375755.5946208582</v>
      </c>
      <c r="E19" s="3">
        <v>17</v>
      </c>
      <c r="F19" s="22">
        <f>(社保费用计算表!D15*12)*(1+社保费用计算表!G15)^每年金额计算!E19</f>
        <v>26884.635248494549</v>
      </c>
      <c r="G19" s="22">
        <f>SUM($F$3:F19)</f>
        <v>391916.397673222</v>
      </c>
    </row>
    <row r="20" spans="1:7" x14ac:dyDescent="0.25">
      <c r="A20" s="3" t="str">
        <f>IF(G20&gt;社保费用计算表!D14,"回本","亏本")</f>
        <v>亏本</v>
      </c>
      <c r="B20" s="32">
        <v>18</v>
      </c>
      <c r="C20" s="22">
        <f>(社保费用计算表!C12*12)*(1+社保费用计算表!D13)^每年金额计算!B20</f>
        <v>28539.587838625739</v>
      </c>
      <c r="D20" s="22">
        <f>SUM($C$3:C20)</f>
        <v>404295.18245948397</v>
      </c>
      <c r="E20" s="3">
        <v>18</v>
      </c>
      <c r="F20" s="22">
        <f>(社保费用计算表!D15*12)*(1+社保费用计算表!G15)^每年金额计算!E20</f>
        <v>27422.327953464435</v>
      </c>
      <c r="G20" s="22">
        <f>SUM($F$3:F20)</f>
        <v>419338.72562668641</v>
      </c>
    </row>
    <row r="21" spans="1:7" x14ac:dyDescent="0.25">
      <c r="A21" s="3" t="str">
        <f>IF(G21&gt;社保费用计算表!D14,"回本","亏本")</f>
        <v>亏本</v>
      </c>
      <c r="B21" s="32">
        <v>19</v>
      </c>
      <c r="C21" s="22">
        <f>(社保费用计算表!C12*12)*(1+社保费用计算表!D13)^每年金额计算!B21</f>
        <v>29395.77547378451</v>
      </c>
      <c r="D21" s="22">
        <f>SUM($C$3:C21)</f>
        <v>433690.95793326851</v>
      </c>
      <c r="E21" s="3">
        <v>19</v>
      </c>
      <c r="F21" s="22">
        <f>(社保费用计算表!D15*12)*(1+社保费用计算表!G15)^每年金额计算!E21</f>
        <v>27970.774512533724</v>
      </c>
      <c r="G21" s="22">
        <f>SUM($F$3:F21)</f>
        <v>447309.50013922015</v>
      </c>
    </row>
    <row r="22" spans="1:7" x14ac:dyDescent="0.25">
      <c r="A22" s="3" t="str">
        <f>IF(G22&gt;社保费用计算表!D14,"回本","亏本")</f>
        <v>回本</v>
      </c>
      <c r="B22" s="32">
        <v>20</v>
      </c>
      <c r="C22" s="22">
        <f>(社保费用计算表!C12*12)*(1+社保费用计算表!D13)^每年金额计算!B22</f>
        <v>30277.648737998043</v>
      </c>
      <c r="D22" s="22">
        <f>SUM($C$3:C22)</f>
        <v>463968.60667126655</v>
      </c>
      <c r="E22" s="3">
        <v>20</v>
      </c>
      <c r="F22" s="22">
        <f>(社保费用计算表!D15*12)*(1+社保费用计算表!G15)^每年金额计算!E22</f>
        <v>28530.190002784402</v>
      </c>
      <c r="G22" s="22">
        <f>SUM($F$3:F22)</f>
        <v>475839.69014200458</v>
      </c>
    </row>
    <row r="23" spans="1:7" x14ac:dyDescent="0.25">
      <c r="A23" s="3" t="str">
        <f>IF(G23&gt;社保费用计算表!D14,"回本","亏本")</f>
        <v>回本</v>
      </c>
      <c r="B23" s="32">
        <v>21</v>
      </c>
      <c r="C23" s="22">
        <f>(社保费用计算表!C12*12)*(1+社保费用计算表!D13)^每年金额计算!B23</f>
        <v>31185.978200137983</v>
      </c>
      <c r="D23" s="22">
        <f>SUM($C$3:C23)</f>
        <v>495154.58487140451</v>
      </c>
      <c r="E23" s="3">
        <v>21</v>
      </c>
      <c r="F23" s="22">
        <f>(社保费用计算表!D15*12)*(1+社保费用计算表!G15)^每年金额计算!E23</f>
        <v>29100.793802840086</v>
      </c>
      <c r="G23" s="22">
        <f>SUM($F$3:F23)</f>
        <v>504940.48394484469</v>
      </c>
    </row>
    <row r="24" spans="1:7" x14ac:dyDescent="0.25">
      <c r="A24" s="3" t="str">
        <f>IF(G24&gt;社保费用计算表!D14,"回本","亏本")</f>
        <v>回本</v>
      </c>
      <c r="B24" s="32">
        <v>22</v>
      </c>
      <c r="C24" s="22">
        <f>(社保费用计算表!C12*12)*(1+社保费用计算表!D13)^每年金额计算!B24</f>
        <v>32121.557546142125</v>
      </c>
      <c r="D24" s="22">
        <f>SUM($C$3:C24)</f>
        <v>527276.14241754659</v>
      </c>
      <c r="E24" s="3">
        <v>22</v>
      </c>
      <c r="F24" s="22">
        <f>(社保费用计算表!D15*12)*(1+社保费用计算表!G15)^每年金额计算!E24</f>
        <v>29682.809678896891</v>
      </c>
      <c r="G24" s="22">
        <f>SUM($F$3:F24)</f>
        <v>534623.2936237416</v>
      </c>
    </row>
    <row r="25" spans="1:7" x14ac:dyDescent="0.25">
      <c r="A25" s="3" t="str">
        <f>IF(G25&gt;社保费用计算表!D14,"回本","亏本")</f>
        <v>回本</v>
      </c>
      <c r="B25" s="32">
        <v>23</v>
      </c>
      <c r="C25" s="22">
        <f>(社保费用计算表!C12*12)*(1+社保费用计算表!D13)^每年金额计算!B25</f>
        <v>33085.204272526389</v>
      </c>
      <c r="D25" s="22">
        <f>SUM($C$3:C25)</f>
        <v>560361.34669007303</v>
      </c>
      <c r="E25" s="3">
        <v>23</v>
      </c>
      <c r="F25" s="22">
        <f>(社保费用计算表!D15*12)*(1+社保费用计算表!G15)^每年金额计算!E25</f>
        <v>30276.465872474822</v>
      </c>
      <c r="G25" s="22">
        <f>SUM($F$3:F25)</f>
        <v>564899.75949621643</v>
      </c>
    </row>
    <row r="26" spans="1:7" x14ac:dyDescent="0.25">
      <c r="A26" s="3" t="str">
        <f>IF(G26&gt;社保费用计算表!D14,"回本","亏本")</f>
        <v>回本</v>
      </c>
      <c r="B26" s="32">
        <v>24</v>
      </c>
      <c r="C26" s="22">
        <f>(社保费用计算表!C12*12)*(1+社保费用计算表!D13)^每年金额计算!B26</f>
        <v>34077.760400702173</v>
      </c>
      <c r="D26" s="22">
        <f>SUM($C$3:C26)</f>
        <v>594439.10709077516</v>
      </c>
      <c r="E26" s="3">
        <v>24</v>
      </c>
      <c r="F26" s="22">
        <f>(社保费用计算表!D15*12)*(1+社保费用计算表!G15)^每年金额计算!E26</f>
        <v>30881.995189924321</v>
      </c>
      <c r="G26" s="22">
        <f>SUM($F$3:F26)</f>
        <v>595781.7546861408</v>
      </c>
    </row>
    <row r="27" spans="1:7" x14ac:dyDescent="0.25">
      <c r="A27" s="3" t="str">
        <f>IF(G27&gt;社保费用计算表!D14,"回本","亏本")</f>
        <v>回本</v>
      </c>
      <c r="B27" s="32">
        <v>25</v>
      </c>
      <c r="C27" s="22">
        <f>(社保费用计算表!C12*12)*(1+社保费用计算表!D13)^每年金额计算!B27</f>
        <v>35100.093212723237</v>
      </c>
      <c r="D27" s="22">
        <f>SUM($C$3:C27)</f>
        <v>629539.20030349842</v>
      </c>
      <c r="E27" s="3">
        <v>25</v>
      </c>
      <c r="F27" s="22">
        <f>(社保费用计算表!D15*12)*(1+社保费用计算表!G15)^每年金额计算!E27</f>
        <v>31499.635093722809</v>
      </c>
      <c r="G27" s="22">
        <f>SUM($F$3:F27)</f>
        <v>627281.38977986365</v>
      </c>
    </row>
    <row r="28" spans="1:7" x14ac:dyDescent="0.25">
      <c r="A28" s="3" t="str">
        <f>IF(G28&gt;社保费用计算表!D14,"回本","亏本")</f>
        <v>回本</v>
      </c>
      <c r="B28" s="32">
        <v>26</v>
      </c>
      <c r="C28" s="22">
        <f>(社保费用计算表!C12*12)*(1+社保费用计算表!D13)^每年金额计算!B28</f>
        <v>36153.096009104942</v>
      </c>
      <c r="D28" s="22">
        <f>SUM($C$3:C28)</f>
        <v>665692.2963126034</v>
      </c>
      <c r="E28" s="3">
        <v>26</v>
      </c>
      <c r="F28" s="22">
        <f>(社保费用计算表!D15*12)*(1+社保费用计算表!G15)^每年金额计算!E28</f>
        <v>32129.627795597266</v>
      </c>
      <c r="G28" s="22">
        <f>SUM($F$3:F28)</f>
        <v>659411.01757546095</v>
      </c>
    </row>
    <row r="29" spans="1:7" x14ac:dyDescent="0.25">
      <c r="A29" s="3" t="str">
        <f>IF(G29&gt;社保费用计算表!D14,"回本","亏本")</f>
        <v>回本</v>
      </c>
      <c r="B29" s="32">
        <v>27</v>
      </c>
      <c r="C29" s="22">
        <f>(社保费用计算表!C12*12)*(1+社保费用计算表!D13)^每年金额计算!B29</f>
        <v>37237.688889378085</v>
      </c>
      <c r="D29" s="22">
        <f>SUM($C$3:C29)</f>
        <v>702929.9852019815</v>
      </c>
      <c r="E29" s="3">
        <v>27</v>
      </c>
      <c r="F29" s="22">
        <f>(社保费用计算表!D15*12)*(1+社保费用计算表!G15)^每年金额计算!E29</f>
        <v>32772.220351509204</v>
      </c>
      <c r="G29" s="22">
        <f>SUM($F$3:F29)</f>
        <v>692183.23792697012</v>
      </c>
    </row>
    <row r="30" spans="1:7" x14ac:dyDescent="0.25">
      <c r="A30" s="3" t="str">
        <f>IF(G30&gt;社保费用计算表!D14,"回本","亏本")</f>
        <v>回本</v>
      </c>
      <c r="B30" s="32">
        <v>28</v>
      </c>
      <c r="C30" s="22">
        <f>(社保费用计算表!C12*12)*(1+社保费用计算表!D13)^每年金额计算!B30</f>
        <v>38354.819556059432</v>
      </c>
      <c r="D30" s="22">
        <f>SUM($C$3:C30)</f>
        <v>741284.80475804093</v>
      </c>
      <c r="E30" s="3">
        <v>28</v>
      </c>
      <c r="F30" s="22">
        <f>(社保费用计算表!D15*12)*(1+社保费用计算表!G15)^每年金额计算!E30</f>
        <v>33427.664758539395</v>
      </c>
      <c r="G30" s="22">
        <f>SUM($F$3:F30)</f>
        <v>725610.90268550953</v>
      </c>
    </row>
    <row r="31" spans="1:7" x14ac:dyDescent="0.25">
      <c r="A31" s="3" t="str">
        <f>IF(G31&gt;社保费用计算表!D14,"回本","亏本")</f>
        <v>回本</v>
      </c>
      <c r="B31" s="32">
        <v>29</v>
      </c>
      <c r="C31" s="22">
        <f>(社保费用计算表!C12*12)*(1+社保费用计算表!D13)^每年金额计算!B31</f>
        <v>39505.464142741206</v>
      </c>
      <c r="D31" s="22">
        <f>SUM($C$3:C31)</f>
        <v>780790.2689007821</v>
      </c>
      <c r="E31" s="3">
        <v>29</v>
      </c>
      <c r="F31" s="22">
        <f>(社保费用计算表!D15*12)*(1+社保费用计算表!G15)^每年金额计算!E31</f>
        <v>34096.218053710181</v>
      </c>
      <c r="G31" s="22">
        <f>SUM($F$3:F31)</f>
        <v>759707.12073921971</v>
      </c>
    </row>
    <row r="32" spans="1:7" x14ac:dyDescent="0.25">
      <c r="A32" s="3" t="str">
        <f>IF(G32&gt;社保费用计算表!D14,"回本","亏本")</f>
        <v>回本</v>
      </c>
      <c r="B32" s="32">
        <v>30</v>
      </c>
      <c r="C32" s="22">
        <f>(社保费用计算表!C12*12)*(1+社保费用计算表!D13)^每年金额计算!B32</f>
        <v>40690.628067023448</v>
      </c>
      <c r="D32" s="22">
        <f>SUM($C$3:C32)</f>
        <v>821480.89696780557</v>
      </c>
      <c r="E32" s="3">
        <v>30</v>
      </c>
      <c r="F32" s="22">
        <f>(社保费用计算表!D15*12)*(1+社保费用计算表!G15)^每年金额计算!E32</f>
        <v>34778.142414784386</v>
      </c>
      <c r="G32" s="22">
        <f>SUM($F$3:F32)</f>
        <v>794485.26315400412</v>
      </c>
    </row>
    <row r="33" spans="1:7" x14ac:dyDescent="0.25">
      <c r="A33" s="3" t="str">
        <f>IF(G33&gt;社保费用计算表!D14,"回本","亏本")</f>
        <v>回本</v>
      </c>
      <c r="B33" s="32">
        <v>31</v>
      </c>
      <c r="C33" s="22">
        <f>(社保费用计算表!C12*12)*(1+社保费用计算表!D13)^每年金额计算!B33</f>
        <v>41911.346909034153</v>
      </c>
      <c r="D33" s="22">
        <f>SUM($C$3:C33)</f>
        <v>863392.24387683976</v>
      </c>
      <c r="E33" s="3">
        <v>31</v>
      </c>
      <c r="F33" s="22">
        <f>(社保费用计算表!D15*12)*(1+社保费用计算表!G15)^每年金额计算!E33</f>
        <v>35473.705263080068</v>
      </c>
      <c r="G33" s="22">
        <f>SUM($F$3:F33)</f>
        <v>829958.96841708419</v>
      </c>
    </row>
    <row r="34" spans="1:7" x14ac:dyDescent="0.25">
      <c r="A34" s="3" t="str">
        <f>IF(G34&gt;社保费用计算表!D14,"回本","亏本")</f>
        <v>回本</v>
      </c>
      <c r="B34" s="32">
        <v>32</v>
      </c>
      <c r="C34" s="22">
        <f>(社保费用计算表!C12*12)*(1+社保费用计算表!D13)^每年金额计算!B34</f>
        <v>43168.687316305171</v>
      </c>
      <c r="D34" s="22">
        <f>SUM($C$3:C34)</f>
        <v>906560.93119314488</v>
      </c>
      <c r="E34" s="3">
        <v>32</v>
      </c>
      <c r="F34" s="22">
        <f>(社保费用计算表!D15*12)*(1+社保费用计算表!G15)^每年金额计算!E34</f>
        <v>36183.179368341676</v>
      </c>
      <c r="G34" s="22">
        <f>SUM($F$3:F34)</f>
        <v>866142.14778542588</v>
      </c>
    </row>
    <row r="35" spans="1:7" x14ac:dyDescent="0.25">
      <c r="A35" s="3" t="str">
        <f>IF(G35&gt;社保费用计算表!D14,"回本","亏本")</f>
        <v>回本</v>
      </c>
      <c r="B35" s="32">
        <v>33</v>
      </c>
      <c r="C35" s="22">
        <f>(社保费用计算表!C12*12)*(1+社保费用计算表!D13)^每年金额计算!B35</f>
        <v>44463.74793579433</v>
      </c>
      <c r="D35" s="22">
        <f>SUM($C$3:C35)</f>
        <v>951024.67912893917</v>
      </c>
      <c r="E35" s="3">
        <v>33</v>
      </c>
      <c r="F35" s="22">
        <f>(社保费用计算表!D15*12)*(1+社保费用计算表!G15)^每年金额计算!E35</f>
        <v>36906.842955708511</v>
      </c>
      <c r="G35" s="22">
        <f>SUM($F$3:F35)</f>
        <v>903048.99074113439</v>
      </c>
    </row>
    <row r="36" spans="1:7" x14ac:dyDescent="0.25">
      <c r="A36" s="3" t="str">
        <f>IF(G36&gt;社保费用计算表!D14,"回本","亏本")</f>
        <v>回本</v>
      </c>
      <c r="B36" s="32">
        <v>34</v>
      </c>
      <c r="C36" s="22">
        <f>(社保费用计算表!C12*12)*(1+社保费用计算表!D13)^每年金额计算!B36</f>
        <v>45797.660373868152</v>
      </c>
      <c r="D36" s="22">
        <f>SUM($C$3:C36)</f>
        <v>996822.33950280736</v>
      </c>
      <c r="E36" s="3">
        <v>34</v>
      </c>
      <c r="F36" s="22">
        <f>(社保费用计算表!D15*12)*(1+社保费用计算表!G15)^每年金额计算!E36</f>
        <v>37644.979814822676</v>
      </c>
      <c r="G36" s="22">
        <f>SUM($F$3:F36)</f>
        <v>940693.97055595706</v>
      </c>
    </row>
    <row r="37" spans="1:7" x14ac:dyDescent="0.25">
      <c r="A37" s="3" t="str">
        <f>IF(G37&gt;社保费用计算表!D14,"回本","亏本")</f>
        <v>回本</v>
      </c>
      <c r="B37" s="32">
        <v>35</v>
      </c>
      <c r="C37" s="22">
        <f>(社保费用计算表!C12*12)*(1+社保费用计算表!D13)^每年金额计算!B37</f>
        <v>47171.590185084206</v>
      </c>
      <c r="D37" s="22">
        <f>SUM($C$3:C37)</f>
        <v>1043993.9296878916</v>
      </c>
      <c r="E37" s="3">
        <v>35</v>
      </c>
      <c r="F37" s="22">
        <f>(社保费用计算表!D15*12)*(1+社保费用计算表!G15)^每年金额计算!E37</f>
        <v>38397.879411119131</v>
      </c>
      <c r="G37" s="22">
        <f>SUM($F$3:F37)</f>
        <v>979091.84996707621</v>
      </c>
    </row>
    <row r="38" spans="1:7" x14ac:dyDescent="0.25">
      <c r="A38" s="3" t="str">
        <f>IF(G38&gt;社保费用计算表!D14,"回本","亏本")</f>
        <v>回本</v>
      </c>
      <c r="B38" s="32">
        <v>36</v>
      </c>
      <c r="C38" s="22">
        <f>(社保费用计算表!C12*12)*(1+社保费用计算表!D13)^每年金额计算!B38</f>
        <v>48586.73789063673</v>
      </c>
      <c r="D38" s="22">
        <f>SUM($C$3:C38)</f>
        <v>1092580.6675785284</v>
      </c>
      <c r="E38" s="3">
        <v>36</v>
      </c>
      <c r="F38" s="22">
        <f>(社保费用计算表!D15*12)*(1+社保费用计算表!G15)^每年金额计算!E38</f>
        <v>39165.836999341511</v>
      </c>
      <c r="G38" s="22">
        <f>SUM($F$3:F38)</f>
        <v>1018257.6869664177</v>
      </c>
    </row>
    <row r="39" spans="1:7" x14ac:dyDescent="0.25">
      <c r="A39" s="3" t="str">
        <f>IF(G39&gt;社保费用计算表!D14,"回本","亏本")</f>
        <v>回本</v>
      </c>
      <c r="B39" s="32">
        <v>37</v>
      </c>
      <c r="C39" s="22">
        <f>(社保费用计算表!C12*12)*(1+社保费用计算表!D13)^每年金额计算!B39</f>
        <v>50044.340027355822</v>
      </c>
      <c r="D39" s="22">
        <f>SUM($C$3:C39)</f>
        <v>1142625.0076058842</v>
      </c>
      <c r="E39" s="3">
        <v>37</v>
      </c>
      <c r="F39" s="22">
        <f>(社保费用计算表!D15*12)*(1+社保费用计算表!G15)^每年金额计算!E39</f>
        <v>39949.153739328343</v>
      </c>
      <c r="G39" s="22">
        <f>SUM($F$3:F39)</f>
        <v>1058206.8407057461</v>
      </c>
    </row>
    <row r="40" spans="1:7" x14ac:dyDescent="0.25">
      <c r="A40" s="3" t="str">
        <f>IF(G40&gt;社保费用计算表!D14,"回本","亏本")</f>
        <v>回本</v>
      </c>
      <c r="B40" s="32">
        <v>38</v>
      </c>
      <c r="C40" s="22">
        <f>(社保费用计算表!C12*12)*(1+社保费用计算表!D13)^每年金额计算!B40</f>
        <v>51545.670228176496</v>
      </c>
      <c r="D40" s="22">
        <f>SUM($C$3:C40)</f>
        <v>1194170.6778340607</v>
      </c>
      <c r="E40" s="3">
        <v>38</v>
      </c>
      <c r="F40" s="22">
        <f>(社保费用计算表!D15*12)*(1+社保费用计算表!G15)^每年金额计算!E40</f>
        <v>40748.136814114914</v>
      </c>
      <c r="G40" s="22">
        <f>SUM($F$3:F40)</f>
        <v>1098954.977519861</v>
      </c>
    </row>
    <row r="41" spans="1:7" x14ac:dyDescent="0.25">
      <c r="A41" s="3" t="str">
        <f>IF(G41&gt;社保费用计算表!D14,"回本","亏本")</f>
        <v>回本</v>
      </c>
      <c r="B41" s="32">
        <v>39</v>
      </c>
      <c r="C41" s="22">
        <f>(社保费用计算表!C12*12)*(1+社保费用计算表!D13)^每年金额计算!B41</f>
        <v>53092.040335021797</v>
      </c>
      <c r="D41" s="22">
        <f>SUM($C$3:C41)</f>
        <v>1247262.7181690824</v>
      </c>
      <c r="E41" s="3">
        <v>39</v>
      </c>
      <c r="F41" s="22">
        <f>(社保费用计算表!D15*12)*(1+社保费用计算表!G15)^每年金额计算!E41</f>
        <v>41563.099550397201</v>
      </c>
      <c r="G41" s="22">
        <f>SUM($F$3:F41)</f>
        <v>1140518.0770702581</v>
      </c>
    </row>
    <row r="42" spans="1:7" x14ac:dyDescent="0.25">
      <c r="A42" s="3" t="str">
        <f>IF(G42&gt;社保费用计算表!D14,"回本","亏本")</f>
        <v>回本</v>
      </c>
      <c r="B42" s="32">
        <v>40</v>
      </c>
      <c r="C42" s="22">
        <f>(社保费用计算表!C12*12)*(1+社保费用计算表!D13)^每年金额计算!B42</f>
        <v>54684.801545072442</v>
      </c>
      <c r="D42" s="22">
        <f>SUM($C$3:C42)</f>
        <v>1301947.5197141548</v>
      </c>
      <c r="E42" s="3">
        <v>40</v>
      </c>
      <c r="F42" s="22">
        <f>(社保费用计算表!D15*12)*(1+社保费用计算表!G15)^每年金额计算!E42</f>
        <v>42394.361541405153</v>
      </c>
      <c r="G42" s="22">
        <f>SUM($F$3:F42)</f>
        <v>1182912.4386116632</v>
      </c>
    </row>
    <row r="43" spans="1:7" x14ac:dyDescent="0.25">
      <c r="A43" s="3" t="str">
        <f>IF(G43&gt;社保费用计算表!D14,"回本","亏本")</f>
        <v>回本</v>
      </c>
      <c r="B43" s="32">
        <v>41</v>
      </c>
      <c r="C43" s="22">
        <f>(社保费用计算表!C12*12)*(1+社保费用计算表!D13)^每年金额计算!B43</f>
        <v>56325.345591424622</v>
      </c>
      <c r="D43" s="22">
        <f>SUM($C$3:C43)</f>
        <v>1358272.8653055795</v>
      </c>
      <c r="E43" s="3">
        <v>41</v>
      </c>
      <c r="F43" s="22">
        <f>(社保费用计算表!D15*12)*(1+社保费用计算表!G15)^每年金额计算!E43</f>
        <v>43242.248772233259</v>
      </c>
      <c r="G43" s="22">
        <f>SUM($F$3:F43)</f>
        <v>1226154.6873838964</v>
      </c>
    </row>
    <row r="44" spans="1:7" x14ac:dyDescent="0.25">
      <c r="A44" s="3" t="str">
        <f>IF(G44&gt;社保费用计算表!D14,"回本","亏本")</f>
        <v>回本</v>
      </c>
      <c r="B44" s="32">
        <v>42</v>
      </c>
      <c r="C44" s="22">
        <f>(社保费用计算表!C12*12)*(1+社保费用计算表!D13)^每年金额计算!B44</f>
        <v>58015.105959167362</v>
      </c>
      <c r="D44" s="22">
        <f>SUM($C$3:C44)</f>
        <v>1416287.971264747</v>
      </c>
      <c r="E44" s="3">
        <v>42</v>
      </c>
      <c r="F44" s="22">
        <f>(社保费用计算表!D15*12)*(1+社保费用计算表!G15)^每年金额计算!E44</f>
        <v>44107.093747677922</v>
      </c>
      <c r="G44" s="22">
        <f>SUM($F$3:F44)</f>
        <v>1270261.7811315744</v>
      </c>
    </row>
    <row r="45" spans="1:7" x14ac:dyDescent="0.25">
      <c r="A45" s="3" t="str">
        <f>IF(G45&gt;社保费用计算表!D14,"回本","亏本")</f>
        <v>回本</v>
      </c>
      <c r="B45" s="32">
        <v>43</v>
      </c>
      <c r="C45" s="22">
        <f>(社保费用计算表!C12*12)*(1+社保费用计算表!D13)^每年金额计算!B45</f>
        <v>59755.559137942379</v>
      </c>
      <c r="D45" s="22">
        <f>SUM($C$3:C45)</f>
        <v>1476043.5304026892</v>
      </c>
      <c r="E45" s="3">
        <v>43</v>
      </c>
      <c r="F45" s="22">
        <f>(社保费用计算表!D15*12)*(1+社保费用计算表!G15)^每年金额计算!E45</f>
        <v>44989.235622631473</v>
      </c>
      <c r="G45" s="22">
        <f>SUM($F$3:F45)</f>
        <v>1315251.0167542058</v>
      </c>
    </row>
    <row r="46" spans="1:7" x14ac:dyDescent="0.25">
      <c r="A46" s="3" t="str">
        <f>IF(G46&gt;社保费用计算表!D14,"回本","亏本")</f>
        <v>回本</v>
      </c>
      <c r="B46" s="32">
        <v>44</v>
      </c>
      <c r="C46" s="22">
        <f>(社保费用计算表!C12*12)*(1+社保费用计算表!D13)^每年金额计算!B46</f>
        <v>61548.225912080641</v>
      </c>
      <c r="D46" s="22">
        <f>SUM($C$3:C46)</f>
        <v>1537591.7563147699</v>
      </c>
      <c r="E46" s="3">
        <v>44</v>
      </c>
      <c r="F46" s="22">
        <f>(社保费用计算表!D15*12)*(1+社保费用计算表!G15)^每年金额计算!E46</f>
        <v>45889.020335084111</v>
      </c>
      <c r="G46" s="22">
        <f>SUM($F$3:F46)</f>
        <v>1361140.0370892899</v>
      </c>
    </row>
    <row r="47" spans="1:7" x14ac:dyDescent="0.25">
      <c r="A47" s="3" t="str">
        <f>IF(G47&gt;社保费用计算表!D14,"回本","亏本")</f>
        <v>回本</v>
      </c>
      <c r="B47" s="32">
        <v>45</v>
      </c>
      <c r="C47" s="22">
        <f>(社保费用计算表!C12*12)*(1+社保费用计算表!D13)^每年金额计算!B47</f>
        <v>63394.672689443061</v>
      </c>
      <c r="D47" s="22">
        <f>SUM($C$3:C47)</f>
        <v>1600986.4290042128</v>
      </c>
      <c r="E47" s="3">
        <v>45</v>
      </c>
      <c r="F47" s="22">
        <f>(社保费用计算表!D15*12)*(1+社保费用计算表!G15)^每年金额计算!E47</f>
        <v>46806.800741785788</v>
      </c>
      <c r="G47" s="22">
        <f>SUM($F$3:F47)</f>
        <v>1407946.8378310758</v>
      </c>
    </row>
    <row r="48" spans="1:7" x14ac:dyDescent="0.25">
      <c r="A48" s="3" t="str">
        <f>IF(G48&gt;社保费用计算表!D14,"回本","亏本")</f>
        <v>回本</v>
      </c>
      <c r="B48" s="32">
        <v>46</v>
      </c>
      <c r="C48" s="22">
        <f>(社保费用计算表!C12*12)*(1+社保费用计算表!D13)^每年金额计算!B48</f>
        <v>65296.512870126353</v>
      </c>
      <c r="D48" s="22">
        <f>SUM($C$3:C48)</f>
        <v>1666282.9418743392</v>
      </c>
      <c r="E48" s="3">
        <v>46</v>
      </c>
      <c r="F48" s="22">
        <f>(社保费用计算表!D15*12)*(1+社保费用计算表!G15)^每年金额计算!E48</f>
        <v>47742.936756621515</v>
      </c>
      <c r="G48" s="22">
        <f>SUM($F$3:F48)</f>
        <v>1455689.7745876973</v>
      </c>
    </row>
    <row r="49" spans="1:7" x14ac:dyDescent="0.25">
      <c r="A49" s="3" t="str">
        <f>IF(G49&gt;社保费用计算表!D14,"回本","亏本")</f>
        <v>回本</v>
      </c>
      <c r="B49" s="32">
        <v>47</v>
      </c>
      <c r="C49" s="22">
        <f>(社保费用计算表!C12*12)*(1+社保费用计算表!D13)^每年金额计算!B49</f>
        <v>67255.408256230148</v>
      </c>
      <c r="D49" s="22">
        <f>SUM($C$3:C49)</f>
        <v>1733538.3501305694</v>
      </c>
      <c r="E49" s="3">
        <v>47</v>
      </c>
      <c r="F49" s="22">
        <f>(社保费用计算表!D15*12)*(1+社保费用计算表!G15)^每年金额计算!E49</f>
        <v>48697.795491753925</v>
      </c>
      <c r="G49" s="22">
        <f>SUM($F$3:F49)</f>
        <v>1504387.5700794512</v>
      </c>
    </row>
    <row r="50" spans="1:7" x14ac:dyDescent="0.25">
      <c r="A50" s="3" t="str">
        <f>IF(G50&gt;社保费用计算表!D14,"回本","亏本")</f>
        <v>回本</v>
      </c>
      <c r="B50" s="32">
        <v>48</v>
      </c>
      <c r="C50" s="22">
        <f>(社保费用计算表!C12*12)*(1+社保费用计算表!D13)^每年金额计算!B50</f>
        <v>69273.070503917057</v>
      </c>
      <c r="D50" s="22">
        <f>SUM($C$3:C50)</f>
        <v>1802811.4206344865</v>
      </c>
      <c r="E50" s="3">
        <v>48</v>
      </c>
      <c r="F50" s="22">
        <f>(社保费用计算表!D15*12)*(1+社保费用计算表!G15)^每年金额计算!E50</f>
        <v>49671.751401589012</v>
      </c>
      <c r="G50" s="22">
        <f>SUM($F$3:F50)</f>
        <v>1554059.3214810402</v>
      </c>
    </row>
    <row r="51" spans="1:7" x14ac:dyDescent="0.25">
      <c r="A51" s="3" t="str">
        <f>IF(G51&gt;社保费用计算表!D14,"回本","亏本")</f>
        <v>回本</v>
      </c>
      <c r="B51" s="32">
        <v>49</v>
      </c>
      <c r="C51" s="22">
        <f>(社保费用计算表!C12*12)*(1+社保费用计算表!D13)^每年金额计算!B51</f>
        <v>71351.262619034562</v>
      </c>
      <c r="D51" s="22">
        <f>SUM($C$3:C51)</f>
        <v>1874162.6832535211</v>
      </c>
      <c r="E51" s="3">
        <v>49</v>
      </c>
      <c r="F51" s="22">
        <f>(社保费用计算表!D15*12)*(1+社保费用计算表!G15)^每年金额计算!E51</f>
        <v>50665.186429620793</v>
      </c>
      <c r="G51" s="22">
        <f>SUM($F$3:F51)</f>
        <v>1604724.5079106609</v>
      </c>
    </row>
    <row r="52" spans="1:7" x14ac:dyDescent="0.25">
      <c r="A52" s="3" t="str">
        <f>IF(G52&gt;社保费用计算表!D14,"回本","亏本")</f>
        <v>回本</v>
      </c>
      <c r="B52" s="32">
        <v>50</v>
      </c>
      <c r="C52" s="22">
        <f>(社保费用计算表!C12*12)*(1+社保费用计算表!D13)^每年金额计算!B52</f>
        <v>73491.800497605596</v>
      </c>
      <c r="D52" s="22">
        <f>SUM($C$3:C52)</f>
        <v>1947654.4837511268</v>
      </c>
      <c r="E52" s="3">
        <v>50</v>
      </c>
      <c r="F52" s="22">
        <f>(社保费用计算表!D15*12)*(1+社保费用计算表!G15)^每年金额计算!E52</f>
        <v>51678.490158213208</v>
      </c>
      <c r="G52" s="22">
        <f>SUM($F$3:F52)</f>
        <v>1656402.9980688742</v>
      </c>
    </row>
    <row r="53" spans="1:7" x14ac:dyDescent="0.25">
      <c r="A53" s="3" t="str">
        <f>IF(G53&gt;社保费用计算表!D14,"回本","亏本")</f>
        <v>回本</v>
      </c>
      <c r="B53" s="32">
        <v>51</v>
      </c>
      <c r="C53" s="22">
        <f>(社保费用计算表!C12*12)*(1+社保费用计算表!D13)^每年金额计算!B53</f>
        <v>75696.554512533767</v>
      </c>
      <c r="D53" s="22">
        <f>SUM($C$3:C53)</f>
        <v>2023351.0382636606</v>
      </c>
      <c r="E53" s="3">
        <v>51</v>
      </c>
      <c r="F53" s="22">
        <f>(社保费用计算表!D15*12)*(1+社保费用计算表!G15)^每年金额计算!E53</f>
        <v>52712.059961377468</v>
      </c>
      <c r="G53" s="22">
        <f>SUM($F$3:F53)</f>
        <v>1709115.0580302516</v>
      </c>
    </row>
    <row r="54" spans="1:7" x14ac:dyDescent="0.25">
      <c r="A54" s="3" t="str">
        <f>IF(G54&gt;社保费用计算表!D14,"回本","亏本")</f>
        <v>回本</v>
      </c>
      <c r="B54" s="32">
        <v>52</v>
      </c>
      <c r="C54" s="22">
        <f>(社保费用计算表!C12*12)*(1+社保费用计算表!D13)^每年金额计算!B54</f>
        <v>77967.451147909771</v>
      </c>
      <c r="D54" s="22">
        <f>SUM($C$3:C54)</f>
        <v>2101318.4894115706</v>
      </c>
      <c r="E54" s="3">
        <v>52</v>
      </c>
      <c r="F54" s="22">
        <f>(社保费用计算表!D15*12)*(1+社保费用计算表!G15)^每年金额计算!E54</f>
        <v>53766.301160605028</v>
      </c>
      <c r="G54" s="22">
        <f>SUM($F$3:F54)</f>
        <v>1762881.3591908566</v>
      </c>
    </row>
    <row r="55" spans="1:7" x14ac:dyDescent="0.25">
      <c r="A55" s="3" t="str">
        <f>IF(G55&gt;社保费用计算表!D14,"回本","亏本")</f>
        <v>回本</v>
      </c>
      <c r="B55" s="32">
        <v>53</v>
      </c>
      <c r="C55" s="22">
        <f>(社保费用计算表!C12*12)*(1+社保费用计算表!D13)^每年金额计算!B55</f>
        <v>80306.474682347049</v>
      </c>
      <c r="D55" s="22">
        <f>SUM($C$3:C55)</f>
        <v>2181624.9640939175</v>
      </c>
      <c r="E55" s="3">
        <v>53</v>
      </c>
      <c r="F55" s="22">
        <f>(社保费用计算表!D15*12)*(1+社保费用计算表!G15)^每年金额计算!E55</f>
        <v>54841.627183817116</v>
      </c>
      <c r="G55" s="22">
        <f>SUM($F$3:F55)</f>
        <v>1817722.9863746737</v>
      </c>
    </row>
    <row r="56" spans="1:7" x14ac:dyDescent="0.25">
      <c r="A56" s="3" t="str">
        <f>IF(G56&gt;社保费用计算表!D14,"回本","亏本")</f>
        <v>回本</v>
      </c>
      <c r="B56" s="32">
        <v>54</v>
      </c>
      <c r="C56" s="22">
        <f>(社保费用计算表!C12*12)*(1+社保费用计算表!D13)^每年金额计算!B56</f>
        <v>82715.66892281748</v>
      </c>
      <c r="D56" s="22">
        <f>SUM($C$3:C56)</f>
        <v>2264340.6330167348</v>
      </c>
      <c r="E56" s="3">
        <v>54</v>
      </c>
      <c r="F56" s="22">
        <f>(社保费用计算表!D15*12)*(1+社保费用计算表!G15)^每年金额计算!E56</f>
        <v>55938.459727493471</v>
      </c>
      <c r="G56" s="22">
        <f>SUM($F$3:F56)</f>
        <v>1873661.4461021672</v>
      </c>
    </row>
    <row r="57" spans="1:7" x14ac:dyDescent="0.25">
      <c r="A57" s="3" t="str">
        <f>IF(G57&gt;社保费用计算表!D14,"回本","亏本")</f>
        <v>回本</v>
      </c>
      <c r="B57" s="32">
        <v>55</v>
      </c>
      <c r="C57" s="22">
        <f>(社保费用计算表!C12*12)*(1+社保费用计算表!D13)^每年金额计算!B57</f>
        <v>85197.138990502004</v>
      </c>
      <c r="D57" s="22">
        <f>SUM($C$3:C57)</f>
        <v>2349537.7720072367</v>
      </c>
      <c r="E57" s="3">
        <v>55</v>
      </c>
      <c r="F57" s="22">
        <f>(社保费用计算表!D15*12)*(1+社保费用计算表!G15)^每年金额计算!E57</f>
        <v>57057.228922043323</v>
      </c>
      <c r="G57" s="22">
        <f>SUM($F$3:F57)</f>
        <v>1930718.6750242105</v>
      </c>
    </row>
    <row r="58" spans="1:7" x14ac:dyDescent="0.25">
      <c r="A58" s="3" t="str">
        <f>IF(G58&gt;社保费用计算表!D14,"回本","亏本")</f>
        <v>回本</v>
      </c>
      <c r="B58" s="32">
        <v>56</v>
      </c>
      <c r="C58" s="22">
        <f>(社保费用计算表!C12*12)*(1+社保费用计算表!D13)^每年金额计算!B58</f>
        <v>87753.053160217052</v>
      </c>
      <c r="D58" s="22">
        <f>SUM($C$3:C58)</f>
        <v>2437290.8251674538</v>
      </c>
      <c r="E58" s="3">
        <v>56</v>
      </c>
      <c r="F58" s="22">
        <f>(社保费用计算表!D15*12)*(1+社保费用计算表!G15)^每年金额计算!E58</f>
        <v>58198.373500484195</v>
      </c>
      <c r="G58" s="22">
        <f>SUM($F$3:F58)</f>
        <v>1988917.0485246948</v>
      </c>
    </row>
    <row r="59" spans="1:7" x14ac:dyDescent="0.25">
      <c r="A59" s="3" t="str">
        <f>IF(G59&gt;社保费用计算表!D14,"回本","亏本")</f>
        <v>回本</v>
      </c>
      <c r="B59" s="32">
        <v>57</v>
      </c>
      <c r="C59" s="22">
        <f>(社保费用计算表!C12*12)*(1+社保费用计算表!D13)^每年金额计算!B59</f>
        <v>90385.644755023561</v>
      </c>
      <c r="D59" s="22">
        <f>SUM($C$3:C59)</f>
        <v>2527676.4699224774</v>
      </c>
      <c r="E59" s="3">
        <v>57</v>
      </c>
      <c r="F59" s="22">
        <f>(社保费用计算表!D15*12)*(1+社保费用计算表!G15)^每年金额计算!E59</f>
        <v>59362.340970493875</v>
      </c>
      <c r="G59" s="22">
        <f>SUM($F$3:F59)</f>
        <v>2048279.3894951886</v>
      </c>
    </row>
    <row r="60" spans="1:7" x14ac:dyDescent="0.25">
      <c r="A60" s="3" t="str">
        <f>IF(G60&gt;社保费用计算表!D14,"回本","亏本")</f>
        <v>回本</v>
      </c>
      <c r="B60" s="32">
        <v>58</v>
      </c>
      <c r="C60" s="22">
        <f>(社保费用计算表!C12*12)*(1+社保费用计算表!D13)^每年金额计算!B60</f>
        <v>93097.214097674281</v>
      </c>
      <c r="D60" s="22">
        <f>SUM($C$3:C60)</f>
        <v>2620773.6840201518</v>
      </c>
      <c r="E60" s="3">
        <v>58</v>
      </c>
      <c r="F60" s="22">
        <f>(社保费用计算表!D15*12)*(1+社保费用计算表!G15)^每年金额计算!E60</f>
        <v>60549.587789903759</v>
      </c>
      <c r="G60" s="22">
        <f>SUM($F$3:F60)</f>
        <v>2108828.9772850922</v>
      </c>
    </row>
    <row r="61" spans="1:7" x14ac:dyDescent="0.25">
      <c r="A61" s="3" t="str">
        <f>IF(G61&gt;社保费用计算表!D14,"回本","亏本")</f>
        <v>回本</v>
      </c>
      <c r="B61" s="32">
        <v>59</v>
      </c>
      <c r="C61" s="22">
        <f>(社保费用计算表!C12*12)*(1+社保费用计算表!D13)^每年金额计算!B61</f>
        <v>95890.130520604507</v>
      </c>
      <c r="D61" s="22">
        <f>SUM($C$3:C61)</f>
        <v>2716663.8145407564</v>
      </c>
      <c r="E61" s="3">
        <v>59</v>
      </c>
      <c r="F61" s="22">
        <f>(社保费用计算表!D15*12)*(1+社保费用计算表!G15)^每年金额计算!E61</f>
        <v>61760.579545701825</v>
      </c>
      <c r="G61" s="22">
        <f>SUM($F$3:F61)</f>
        <v>2170589.5568307941</v>
      </c>
    </row>
    <row r="62" spans="1:7" x14ac:dyDescent="0.25">
      <c r="A62" s="3" t="str">
        <f>IF(G62&gt;社保费用计算表!D14,"回本","亏本")</f>
        <v>回本</v>
      </c>
      <c r="B62" s="32">
        <v>60</v>
      </c>
      <c r="C62" s="22">
        <f>(社保费用计算表!C12*12)*(1+社保费用计算表!D13)^每年金额计算!B62</f>
        <v>98766.834436222634</v>
      </c>
      <c r="D62" s="22">
        <f>SUM($C$3:C62)</f>
        <v>2815430.6489769788</v>
      </c>
      <c r="E62" s="3">
        <v>60</v>
      </c>
      <c r="F62" s="22">
        <f>(社保费用计算表!D15*12)*(1+社保费用计算表!G15)^每年金额计算!E62</f>
        <v>62995.791136615873</v>
      </c>
      <c r="G62" s="22">
        <f>SUM($F$3:F62)</f>
        <v>2233585.34796741</v>
      </c>
    </row>
    <row r="63" spans="1:7" x14ac:dyDescent="0.25">
      <c r="A63" s="3" t="str">
        <f>IF(G63&gt;社保费用计算表!D14,"回本","亏本")</f>
        <v>回本</v>
      </c>
      <c r="E63" s="3">
        <v>61</v>
      </c>
      <c r="F63" s="31">
        <f>(社保费用计算表!D15*12)*(1+社保费用计算表!G15)^每年金额计算!E63</f>
        <v>64255.706959348187</v>
      </c>
      <c r="G63" s="22">
        <f>SUM($F$3:F63)</f>
        <v>2297841.0549267582</v>
      </c>
    </row>
    <row r="64" spans="1:7" x14ac:dyDescent="0.25">
      <c r="A64" s="3" t="str">
        <f>IF(G64&gt;社保费用计算表!D14,"回本","亏本")</f>
        <v>回本</v>
      </c>
      <c r="E64" s="3">
        <v>62</v>
      </c>
      <c r="F64" s="31">
        <f>(社保费用计算表!D15*12)*(1+社保费用计算表!G15)^每年金额计算!E64</f>
        <v>65540.821098535147</v>
      </c>
      <c r="G64" s="22">
        <f>SUM($F$3:F64)</f>
        <v>2363381.8760252935</v>
      </c>
    </row>
    <row r="65" spans="1:7" x14ac:dyDescent="0.25">
      <c r="A65" s="3" t="str">
        <f>IF(G65&gt;社保费用计算表!D14,"回本","亏本")</f>
        <v>回本</v>
      </c>
      <c r="E65" s="3">
        <v>63</v>
      </c>
      <c r="F65" s="31">
        <f>(社保费用计算表!D15*12)*(1+社保费用计算表!G15)^每年金额计算!E65</f>
        <v>66851.637520505843</v>
      </c>
      <c r="G65" s="22">
        <f>SUM($F$3:F65)</f>
        <v>2430233.5135457995</v>
      </c>
    </row>
    <row r="66" spans="1:7" x14ac:dyDescent="0.25">
      <c r="A66" s="3" t="str">
        <f>IF(G66&gt;社保费用计算表!D14,"回本","亏本")</f>
        <v>回本</v>
      </c>
      <c r="E66" s="3">
        <v>64</v>
      </c>
      <c r="F66" s="31">
        <f>(社保费用计算表!D15*12)*(1+社保费用计算表!G15)^每年金额计算!E66</f>
        <v>68188.670270915973</v>
      </c>
      <c r="G66" s="22">
        <f>SUM($F$3:F66)</f>
        <v>2498422.1838167156</v>
      </c>
    </row>
    <row r="67" spans="1:7" x14ac:dyDescent="0.25">
      <c r="A67" s="3" t="str">
        <f>IF(G67&gt;社保费用计算表!D14,"回本","亏本")</f>
        <v>回本</v>
      </c>
      <c r="E67" s="3">
        <v>65</v>
      </c>
      <c r="F67" s="31">
        <f>(社保费用计算表!D15*12)*(1+社保费用计算表!G15)^每年金额计算!E67</f>
        <v>69552.443676334296</v>
      </c>
      <c r="G67" s="22">
        <f>SUM($F$3:F67)</f>
        <v>2567974.6274930499</v>
      </c>
    </row>
    <row r="68" spans="1:7" x14ac:dyDescent="0.25">
      <c r="A68" s="3" t="str">
        <f>IF(G68&gt;社保费用计算表!D14,"回本","亏本")</f>
        <v>回本</v>
      </c>
      <c r="E68" s="3">
        <v>66</v>
      </c>
      <c r="F68" s="31">
        <f>(社保费用计算表!D15*12)*(1+社保费用计算表!G15)^每年金额计算!E68</f>
        <v>70943.492549860981</v>
      </c>
      <c r="G68" s="22">
        <f>SUM($F$3:F68)</f>
        <v>2638918.1200429108</v>
      </c>
    </row>
    <row r="69" spans="1:7" x14ac:dyDescent="0.25">
      <c r="A69" s="3" t="str">
        <f>IF(G69&gt;社保费用计算表!D14,"回本","亏本")</f>
        <v>回本</v>
      </c>
      <c r="E69" s="3">
        <v>67</v>
      </c>
      <c r="F69" s="31">
        <f>(社保费用计算表!D15*12)*(1+社保费用计算表!G15)^每年金额计算!E69</f>
        <v>72362.362400858197</v>
      </c>
      <c r="G69" s="22">
        <f>SUM($F$3:F69)</f>
        <v>2711280.482443769</v>
      </c>
    </row>
    <row r="70" spans="1:7" x14ac:dyDescent="0.25">
      <c r="A70" s="3" t="str">
        <f>IF(G70&gt;社保费用计算表!D14,"回本","亏本")</f>
        <v>回本</v>
      </c>
      <c r="E70" s="3">
        <v>68</v>
      </c>
      <c r="F70" s="31">
        <f>(社保费用计算表!D15*12)*(1+社保费用计算表!G15)^每年金额计算!E70</f>
        <v>73809.609648875354</v>
      </c>
      <c r="G70" s="22">
        <f>SUM($F$3:F70)</f>
        <v>2785090.0920926444</v>
      </c>
    </row>
    <row r="71" spans="1:7" x14ac:dyDescent="0.25">
      <c r="A71" s="3" t="str">
        <f>IF(G71&gt;社保费用计算表!D14,"回本","亏本")</f>
        <v>回本</v>
      </c>
      <c r="E71" s="3">
        <v>69</v>
      </c>
      <c r="F71" s="31">
        <f>(社保费用计算表!D15*12)*(1+社保费用计算表!G15)^每年金额计算!E71</f>
        <v>75285.801841852866</v>
      </c>
      <c r="G71" s="22">
        <f>SUM($F$3:F71)</f>
        <v>2860375.8939344971</v>
      </c>
    </row>
    <row r="72" spans="1:7" x14ac:dyDescent="0.25">
      <c r="A72" s="3" t="str">
        <f>IF(G72&gt;社保费用计算表!D14,"回本","亏本")</f>
        <v>回本</v>
      </c>
      <c r="E72" s="3">
        <v>70</v>
      </c>
      <c r="F72" s="31">
        <f>(社保费用计算表!D15*12)*(1+社保费用计算表!G15)^每年金额计算!E72</f>
        <v>76791.517878689934</v>
      </c>
      <c r="G72" s="22">
        <f>SUM($F$3:F72)</f>
        <v>2937167.4118131869</v>
      </c>
    </row>
    <row r="73" spans="1:7" x14ac:dyDescent="0.25">
      <c r="A73" s="3" t="str">
        <f>IF(G73&gt;社保费用计算表!D14,"回本","亏本")</f>
        <v>回本</v>
      </c>
      <c r="E73" s="3">
        <v>71</v>
      </c>
      <c r="F73" s="31">
        <f>(社保费用计算表!D15*12)*(1+社保费用计算表!G15)^每年金额计算!E73</f>
        <v>78327.348236263715</v>
      </c>
      <c r="G73" s="22">
        <f>SUM($F$3:F73)</f>
        <v>3015494.7600494507</v>
      </c>
    </row>
    <row r="74" spans="1:7" x14ac:dyDescent="0.25">
      <c r="A74" s="3" t="str">
        <f>IF(G74&gt;社保费用计算表!D14,"回本","亏本")</f>
        <v>回本</v>
      </c>
      <c r="E74" s="3">
        <v>72</v>
      </c>
      <c r="F74" s="31">
        <f>(社保费用计算表!D15*12)*(1+社保费用计算表!G15)^每年金额计算!E74</f>
        <v>79893.895200989005</v>
      </c>
      <c r="G74" s="22">
        <f>SUM($F$3:F74)</f>
        <v>3095388.6552504399</v>
      </c>
    </row>
    <row r="75" spans="1:7" x14ac:dyDescent="0.25">
      <c r="A75" s="3" t="str">
        <f>IF(G75&gt;社保费用计算表!D14,"回本","亏本")</f>
        <v>回本</v>
      </c>
      <c r="E75" s="3">
        <v>73</v>
      </c>
      <c r="F75" s="31">
        <f>(社保费用计算表!D15*12)*(1+社保费用计算表!G15)^每年金额计算!E75</f>
        <v>81491.773105008775</v>
      </c>
      <c r="G75" s="22">
        <f>SUM($F$3:F75)</f>
        <v>3176880.4283554489</v>
      </c>
    </row>
    <row r="76" spans="1:7" x14ac:dyDescent="0.25">
      <c r="A76" s="3" t="str">
        <f>IF(G76&gt;社保费用计算表!D14,"回本","亏本")</f>
        <v>回本</v>
      </c>
      <c r="E76" s="3">
        <v>74</v>
      </c>
      <c r="F76" s="31">
        <f>(社保费用计算表!D15*12)*(1+社保费用计算表!G15)^每年金额计算!E76</f>
        <v>83121.608567108953</v>
      </c>
      <c r="G76" s="22">
        <f>SUM($F$3:F76)</f>
        <v>3260002.0369225577</v>
      </c>
    </row>
    <row r="77" spans="1:7" x14ac:dyDescent="0.25">
      <c r="A77" s="3" t="str">
        <f>IF(G77&gt;社保费用计算表!D14,"回本","亏本")</f>
        <v>回本</v>
      </c>
      <c r="E77" s="3">
        <v>75</v>
      </c>
      <c r="F77" s="31">
        <f>(社保费用计算表!D15*12)*(1+社保费用计算表!G15)^每年金额计算!E77</f>
        <v>84784.04073845112</v>
      </c>
      <c r="G77" s="22">
        <f>SUM($F$3:F77)</f>
        <v>3344786.077661009</v>
      </c>
    </row>
    <row r="78" spans="1:7" x14ac:dyDescent="0.25">
      <c r="A78" s="3" t="str">
        <f>IF(G78&gt;社保费用计算表!D14,"回本","亏本")</f>
        <v>回本</v>
      </c>
      <c r="E78" s="3">
        <v>76</v>
      </c>
      <c r="F78" s="31">
        <f>(社保费用计算表!D15*12)*(1+社保费用计算表!G15)^每年金额计算!E78</f>
        <v>86479.721553220152</v>
      </c>
      <c r="G78" s="22">
        <f>SUM($F$3:F78)</f>
        <v>3431265.799214229</v>
      </c>
    </row>
    <row r="79" spans="1:7" x14ac:dyDescent="0.25">
      <c r="A79" s="3" t="str">
        <f>IF(G79&gt;社保费用计算表!D14,"回本","亏本")</f>
        <v>回本</v>
      </c>
      <c r="E79" s="3">
        <v>77</v>
      </c>
      <c r="F79" s="31">
        <f>(社保费用计算表!D15*12)*(1+社保费用计算表!G15)^每年金额计算!E79</f>
        <v>88209.315984284563</v>
      </c>
      <c r="G79" s="22">
        <f>SUM($F$3:F79)</f>
        <v>3519475.1151985135</v>
      </c>
    </row>
    <row r="80" spans="1:7" x14ac:dyDescent="0.25">
      <c r="A80" s="3" t="str">
        <f>IF(G80&gt;社保费用计算表!D14,"回本","亏本")</f>
        <v>回本</v>
      </c>
      <c r="E80" s="3">
        <v>78</v>
      </c>
      <c r="F80" s="31">
        <f>(社保费用计算表!D15*12)*(1+社保费用计算表!G15)^每年金额计算!E80</f>
        <v>89973.50230397025</v>
      </c>
      <c r="G80" s="22">
        <f>SUM($F$3:F80)</f>
        <v>3609448.6175024835</v>
      </c>
    </row>
    <row r="81" spans="1:7" x14ac:dyDescent="0.25">
      <c r="A81" s="3" t="str">
        <f>IF(G81&gt;社保费用计算表!D14,"回本","亏本")</f>
        <v>回本</v>
      </c>
      <c r="E81" s="3">
        <v>79</v>
      </c>
      <c r="F81" s="31">
        <f>(社保费用计算表!D15*12)*(1+社保费用计算表!G15)^每年金额计算!E81</f>
        <v>91772.972350049633</v>
      </c>
      <c r="G81" s="22">
        <f>SUM($F$3:F81)</f>
        <v>3701221.5898525333</v>
      </c>
    </row>
    <row r="82" spans="1:7" x14ac:dyDescent="0.25">
      <c r="A82" s="3" t="str">
        <f>IF(G82&gt;社保费用计算表!D14,"回本","亏本")</f>
        <v>回本</v>
      </c>
      <c r="E82" s="3">
        <v>80</v>
      </c>
      <c r="F82" s="31">
        <f>(社保费用计算表!D15*12)*(1+社保费用计算表!G15)^每年金额计算!E82</f>
        <v>93608.431797050638</v>
      </c>
      <c r="G82" s="22">
        <f>SUM($F$3:F82)</f>
        <v>3794830.0216495842</v>
      </c>
    </row>
    <row r="83" spans="1:7" x14ac:dyDescent="0.25">
      <c r="A83" s="3" t="str">
        <f>IF(G83&gt;社保费用计算表!D14,"回本","亏本")</f>
        <v>回本</v>
      </c>
      <c r="E83" s="3">
        <v>81</v>
      </c>
      <c r="F83" s="31">
        <f>(社保费用计算表!D15*12)*(1+社保费用计算表!G15)^每年金额计算!E83</f>
        <v>95480.600432991647</v>
      </c>
      <c r="G83" s="22">
        <f>SUM($F$3:F83)</f>
        <v>3890310.6220825757</v>
      </c>
    </row>
    <row r="84" spans="1:7" x14ac:dyDescent="0.25">
      <c r="A84" s="3" t="str">
        <f>IF(G84&gt;社保费用计算表!D14,"回本","亏本")</f>
        <v>回本</v>
      </c>
      <c r="E84" s="3">
        <v>82</v>
      </c>
      <c r="F84" s="31">
        <f>(社保费用计算表!D15*12)*(1+社保费用计算表!G15)^每年金额计算!E84</f>
        <v>97390.212441651471</v>
      </c>
      <c r="G84" s="22">
        <f>SUM($F$3:F84)</f>
        <v>3987700.8345242273</v>
      </c>
    </row>
    <row r="85" spans="1:7" x14ac:dyDescent="0.25">
      <c r="A85" s="3" t="str">
        <f>IF(G85&gt;社保费用计算表!D14,"回本","亏本")</f>
        <v>回本</v>
      </c>
      <c r="E85" s="3">
        <v>83</v>
      </c>
      <c r="F85" s="31">
        <f>(社保费用计算表!D15*12)*(1+社保费用计算表!G15)^每年金额计算!E85</f>
        <v>99338.01669048451</v>
      </c>
      <c r="G85" s="22">
        <f>SUM($F$3:F85)</f>
        <v>4087038.851214712</v>
      </c>
    </row>
    <row r="86" spans="1:7" x14ac:dyDescent="0.25">
      <c r="A86" s="3" t="str">
        <f>IF(G86&gt;社保费用计算表!D14,"回本","亏本")</f>
        <v>回本</v>
      </c>
      <c r="E86" s="3">
        <v>84</v>
      </c>
      <c r="F86" s="31">
        <f>(社保费用计算表!D15*12)*(1+社保费用计算表!G15)^每年金额计算!E86</f>
        <v>101324.77702429421</v>
      </c>
      <c r="G86" s="22">
        <f>SUM($F$3:F86)</f>
        <v>4188363.6282390063</v>
      </c>
    </row>
    <row r="87" spans="1:7" x14ac:dyDescent="0.25">
      <c r="A87" s="3" t="str">
        <f>IF(G87&gt;社保费用计算表!D14,"回本","亏本")</f>
        <v>回本</v>
      </c>
      <c r="E87" s="3">
        <v>85</v>
      </c>
      <c r="F87" s="31">
        <f>(社保费用计算表!D15*12)*(1+社保费用计算表!G15)^每年金额计算!E87</f>
        <v>103351.27256478008</v>
      </c>
      <c r="G87" s="22">
        <f>SUM($F$3:F87)</f>
        <v>4291714.9008037867</v>
      </c>
    </row>
    <row r="88" spans="1:7" x14ac:dyDescent="0.25">
      <c r="A88" s="3" t="str">
        <f>IF(G88&gt;社保费用计算表!D14,"回本","亏本")</f>
        <v>回本</v>
      </c>
      <c r="E88" s="3">
        <v>86</v>
      </c>
      <c r="F88" s="31">
        <f>(社保费用计算表!D15*12)*(1+社保费用计算表!G15)^每年金额计算!E88</f>
        <v>105418.2980160757</v>
      </c>
      <c r="G88" s="22">
        <f>SUM($F$3:F88)</f>
        <v>4397133.1988198627</v>
      </c>
    </row>
    <row r="89" spans="1:7" x14ac:dyDescent="0.25">
      <c r="A89" s="3" t="str">
        <f>IF(G89&gt;社保费用计算表!D14,"回本","亏本")</f>
        <v>回本</v>
      </c>
      <c r="E89" s="3">
        <v>87</v>
      </c>
      <c r="F89" s="31">
        <f>(社保费用计算表!D15*12)*(1+社保费用计算表!G15)^每年金额计算!E89</f>
        <v>107526.66397639718</v>
      </c>
      <c r="G89" s="22">
        <f>SUM($F$3:F89)</f>
        <v>4504659.86279626</v>
      </c>
    </row>
    <row r="90" spans="1:7" x14ac:dyDescent="0.25">
      <c r="A90" s="3" t="str">
        <f>IF(G90&gt;社保费用计算表!D14,"回本","亏本")</f>
        <v>回本</v>
      </c>
      <c r="E90" s="3">
        <v>88</v>
      </c>
      <c r="F90" s="31">
        <f>(社保费用计算表!D15*12)*(1+社保费用计算表!G15)^每年金额计算!E90</f>
        <v>109677.19725592513</v>
      </c>
      <c r="G90" s="22">
        <f>SUM($F$3:F90)</f>
        <v>4614337.0600521853</v>
      </c>
    </row>
    <row r="91" spans="1:7" x14ac:dyDescent="0.25">
      <c r="A91" s="3" t="str">
        <f>IF(G91&gt;社保费用计算表!D14,"回本","亏本")</f>
        <v>回本</v>
      </c>
      <c r="E91" s="3">
        <v>89</v>
      </c>
      <c r="F91" s="31">
        <f>(社保费用计算表!D15*12)*(1+社保费用计算表!G15)^每年金额计算!E91</f>
        <v>111870.74120104364</v>
      </c>
      <c r="G91" s="22">
        <f>SUM($F$3:F91)</f>
        <v>4726207.8012532294</v>
      </c>
    </row>
    <row r="92" spans="1:7" x14ac:dyDescent="0.25">
      <c r="A92" s="3" t="str">
        <f>IF(G92&gt;社保费用计算表!D14,"回本","亏本")</f>
        <v>回本</v>
      </c>
      <c r="E92" s="3">
        <v>90</v>
      </c>
      <c r="F92" s="31">
        <f>(社保费用计算表!D15*12)*(1+社保费用计算表!G15)^每年金额计算!E92</f>
        <v>114108.15602506453</v>
      </c>
      <c r="G92" s="22">
        <f>SUM($F$3:F92)</f>
        <v>4840315.9572782936</v>
      </c>
    </row>
    <row r="93" spans="1:7" x14ac:dyDescent="0.25">
      <c r="A93" s="3" t="str">
        <f>IF(G93&gt;社保费用计算表!D14,"回本","亏本")</f>
        <v>回本</v>
      </c>
      <c r="E93" s="3">
        <v>91</v>
      </c>
      <c r="F93" s="31">
        <f>(社保费用计算表!D15*12)*(1+社保费用计算表!G15)^每年金额计算!E93</f>
        <v>116390.31914556579</v>
      </c>
      <c r="G93" s="22">
        <f>SUM($F$3:F93)</f>
        <v>4956706.2764238594</v>
      </c>
    </row>
    <row r="94" spans="1:7" x14ac:dyDescent="0.25">
      <c r="A94" s="3" t="str">
        <f>IF(G94&gt;社保费用计算表!D14,"回本","亏本")</f>
        <v>回本</v>
      </c>
      <c r="E94" s="3">
        <v>92</v>
      </c>
      <c r="F94" s="31">
        <f>(社保费用计算表!D15*12)*(1+社保费用计算表!G15)^每年金额计算!E94</f>
        <v>118718.12552847713</v>
      </c>
      <c r="G94" s="22">
        <f>SUM($F$3:F94)</f>
        <v>5075424.4019523365</v>
      </c>
    </row>
    <row r="95" spans="1:7" x14ac:dyDescent="0.25">
      <c r="A95" s="3" t="str">
        <f>IF(G95&gt;社保费用计算表!D14,"回本","亏本")</f>
        <v>回本</v>
      </c>
      <c r="E95" s="3">
        <v>93</v>
      </c>
      <c r="F95" s="31">
        <f>(社保费用计算表!D15*12)*(1+社保费用计算表!G15)^每年金额计算!E95</f>
        <v>121092.48803904666</v>
      </c>
      <c r="G95" s="22">
        <f>SUM($F$3:F95)</f>
        <v>5196516.8899913831</v>
      </c>
    </row>
    <row r="96" spans="1:7" x14ac:dyDescent="0.25">
      <c r="A96" s="3" t="str">
        <f>IF(G96&gt;社保费用计算表!D14,"回本","亏本")</f>
        <v>回本</v>
      </c>
      <c r="E96" s="3">
        <v>94</v>
      </c>
      <c r="F96" s="31">
        <f>(社保费用计算表!D15*12)*(1+社保费用计算表!G15)^每年金额计算!E96</f>
        <v>123514.3377998276</v>
      </c>
      <c r="G96" s="22">
        <f>SUM($F$3:F96)</f>
        <v>5320031.2277912106</v>
      </c>
    </row>
    <row r="97" spans="1:7" x14ac:dyDescent="0.25">
      <c r="A97" s="3" t="str">
        <f>IF(G97&gt;社保费用计算表!D14,"回本","亏本")</f>
        <v>回本</v>
      </c>
      <c r="E97" s="3">
        <v>95</v>
      </c>
      <c r="F97" s="31">
        <f>(社保费用计算表!D15*12)*(1+社保费用计算表!G15)^每年金额计算!E97</f>
        <v>125984.62455582412</v>
      </c>
      <c r="G97" s="22">
        <f>SUM($F$3:F97)</f>
        <v>5446015.852347035</v>
      </c>
    </row>
    <row r="98" spans="1:7" x14ac:dyDescent="0.25">
      <c r="A98" s="3" t="str">
        <f>IF(G98&gt;社保费用计算表!D14,"回本","亏本")</f>
        <v>回本</v>
      </c>
      <c r="E98" s="3">
        <v>96</v>
      </c>
      <c r="F98" s="31">
        <f>(社保费用计算表!D15*12)*(1+社保费用计算表!G15)^每年金额计算!E98</f>
        <v>128504.31704694063</v>
      </c>
      <c r="G98" s="22">
        <f>SUM($F$3:F98)</f>
        <v>5574520.1693939753</v>
      </c>
    </row>
    <row r="99" spans="1:7" x14ac:dyDescent="0.25">
      <c r="A99" s="3" t="str">
        <f>IF(G99&gt;社保费用计算表!D14,"回本","亏本")</f>
        <v>回本</v>
      </c>
      <c r="E99" s="3">
        <v>97</v>
      </c>
      <c r="F99" s="31">
        <f>(社保费用计算表!D15*12)*(1+社保费用计算表!G15)^每年金额计算!E99</f>
        <v>131074.40338787946</v>
      </c>
      <c r="G99" s="22">
        <f>SUM($F$3:F99)</f>
        <v>5705594.5727818543</v>
      </c>
    </row>
    <row r="100" spans="1:7" x14ac:dyDescent="0.25">
      <c r="A100" s="3" t="str">
        <f>IF(G100&gt;社保费用计算表!D14,"回本","亏本")</f>
        <v>回本</v>
      </c>
      <c r="E100" s="3">
        <v>98</v>
      </c>
      <c r="F100" s="31">
        <f>(社保费用计算表!D15*12)*(1+社保费用计算表!G15)^每年金额计算!E100</f>
        <v>133695.89145563703</v>
      </c>
      <c r="G100" s="22">
        <f>SUM($F$3:F100)</f>
        <v>5839290.4642374916</v>
      </c>
    </row>
    <row r="101" spans="1:7" x14ac:dyDescent="0.25">
      <c r="A101" s="3" t="str">
        <f>IF(G101&gt;社保费用计算表!D14,"回本","亏本")</f>
        <v>回本</v>
      </c>
      <c r="E101" s="3">
        <v>99</v>
      </c>
      <c r="F101" s="31">
        <f>(社保费用计算表!D15*12)*(1+社保费用计算表!G15)^每年金额计算!E101</f>
        <v>136369.80928474976</v>
      </c>
      <c r="G101" s="22">
        <f>SUM($F$3:F101)</f>
        <v>5975660.273522241</v>
      </c>
    </row>
    <row r="102" spans="1:7" x14ac:dyDescent="0.25">
      <c r="A102" s="3" t="str">
        <f>IF(G102&gt;社保费用计算表!D14,"回本","亏本")</f>
        <v>回本</v>
      </c>
      <c r="E102" s="3">
        <v>100</v>
      </c>
      <c r="F102" s="31">
        <f>(社保费用计算表!D15*12)*(1+社保费用计算表!G15)^每年金额计算!E102</f>
        <v>139097.20547044475</v>
      </c>
      <c r="G102" s="22">
        <f>SUM($F$3:F102)</f>
        <v>6114757.4789926857</v>
      </c>
    </row>
    <row r="103" spans="1:7" x14ac:dyDescent="0.25">
      <c r="A103" s="3" t="str">
        <f>IF(G103&gt;社保费用计算表!D14,"回本","亏本")</f>
        <v>回本</v>
      </c>
      <c r="E103" s="3">
        <v>101</v>
      </c>
      <c r="F103" s="31">
        <f>(社保费用计算表!D15*12)*(1+社保费用计算表!G15)^每年金额计算!E103</f>
        <v>141879.14957985366</v>
      </c>
      <c r="G103" s="22">
        <f>SUM($F$3:F103)</f>
        <v>6256636.6285725394</v>
      </c>
    </row>
    <row r="104" spans="1:7" x14ac:dyDescent="0.25">
      <c r="A104" s="3" t="str">
        <f>IF(G104&gt;社保费用计算表!D14,"回本","亏本")</f>
        <v>回本</v>
      </c>
      <c r="E104" s="3">
        <v>102</v>
      </c>
      <c r="F104" s="31">
        <f>(社保费用计算表!D15*12)*(1+社保费用计算表!G15)^每年金额计算!E104</f>
        <v>144716.73257145076</v>
      </c>
      <c r="G104" s="22">
        <f>SUM($F$3:F104)</f>
        <v>6401353.3611439904</v>
      </c>
    </row>
    <row r="105" spans="1:7" x14ac:dyDescent="0.25">
      <c r="A105" s="3" t="str">
        <f>IF(G105&gt;社保费用计算表!D14,"回本","亏本")</f>
        <v>回本</v>
      </c>
      <c r="E105" s="3">
        <v>103</v>
      </c>
      <c r="F105" s="31">
        <f>(社保费用计算表!D15*12)*(1+社保费用计算表!G15)^每年金额计算!E105</f>
        <v>147611.0672228797</v>
      </c>
      <c r="G105" s="22">
        <f>SUM($F$3:F105)</f>
        <v>6548964.4283668697</v>
      </c>
    </row>
    <row r="106" spans="1:7" x14ac:dyDescent="0.25">
      <c r="A106" s="3" t="str">
        <f>IF(G106&gt;社保费用计算表!D14,"回本","亏本")</f>
        <v>回本</v>
      </c>
      <c r="E106" s="3">
        <v>104</v>
      </c>
      <c r="F106" s="31">
        <f>(社保费用计算表!D15*12)*(1+社保费用计算表!G15)^每年金额计算!E106</f>
        <v>150563.28856733735</v>
      </c>
      <c r="G106" s="22">
        <f>SUM($F$3:F106)</f>
        <v>6699527.7169342069</v>
      </c>
    </row>
    <row r="107" spans="1:7" x14ac:dyDescent="0.25">
      <c r="A107" s="3" t="str">
        <f>IF(G107&gt;社保费用计算表!D14,"回本","亏本")</f>
        <v>回本</v>
      </c>
      <c r="E107" s="3">
        <v>105</v>
      </c>
      <c r="F107" s="31">
        <f>(社保费用计算表!D15*12)*(1+社保费用计算表!G15)^每年金额计算!E107</f>
        <v>153574.5543386841</v>
      </c>
      <c r="G107" s="22">
        <f>SUM($F$3:F107)</f>
        <v>6853102.2712728912</v>
      </c>
    </row>
    <row r="108" spans="1:7" x14ac:dyDescent="0.25">
      <c r="A108" s="3" t="str">
        <f>IF(G108&gt;社保费用计算表!D14,"回本","亏本")</f>
        <v>回本</v>
      </c>
      <c r="E108" s="3">
        <v>106</v>
      </c>
      <c r="F108" s="31">
        <f>(社保费用计算表!D15*12)*(1+社保费用计算表!G15)^每年金额计算!E108</f>
        <v>156646.04542545776</v>
      </c>
      <c r="G108" s="22">
        <f>SUM($F$3:F108)</f>
        <v>7009748.3166983491</v>
      </c>
    </row>
    <row r="109" spans="1:7" x14ac:dyDescent="0.25">
      <c r="A109" s="3" t="str">
        <f>IF(G109&gt;社保费用计算表!D14,"回本","亏本")</f>
        <v>回本</v>
      </c>
      <c r="E109" s="3">
        <v>107</v>
      </c>
      <c r="F109" s="31">
        <f>(社保费用计算表!D15*12)*(1+社保费用计算表!G15)^每年金额计算!E109</f>
        <v>159778.96633396694</v>
      </c>
      <c r="G109" s="22">
        <f>SUM($F$3:F109)</f>
        <v>7169527.2830323158</v>
      </c>
    </row>
    <row r="110" spans="1:7" x14ac:dyDescent="0.25">
      <c r="A110" s="3" t="str">
        <f>IF(G110&gt;社保费用计算表!D14,"回本","亏本")</f>
        <v>回本</v>
      </c>
      <c r="E110" s="3">
        <v>108</v>
      </c>
      <c r="F110" s="31">
        <f>(社保费用计算表!D15*12)*(1+社保费用计算表!G15)^每年金额计算!E110</f>
        <v>162974.54566064628</v>
      </c>
      <c r="G110" s="22">
        <f>SUM($F$3:F110)</f>
        <v>7332501.8286929624</v>
      </c>
    </row>
    <row r="111" spans="1:7" x14ac:dyDescent="0.25">
      <c r="A111" s="3" t="str">
        <f>IF(G111&gt;社保费用计算表!D14,"回本","亏本")</f>
        <v>回本</v>
      </c>
      <c r="E111" s="3">
        <v>109</v>
      </c>
      <c r="F111" s="31">
        <f>(社保费用计算表!D15*12)*(1+社保费用计算表!G15)^每年金额计算!E111</f>
        <v>166234.03657385919</v>
      </c>
      <c r="G111" s="22">
        <f>SUM($F$3:F111)</f>
        <v>7498735.8652668213</v>
      </c>
    </row>
    <row r="112" spans="1:7" x14ac:dyDescent="0.25">
      <c r="A112" s="3" t="str">
        <f>IF(G112&gt;社保费用计算表!D14,"回本","亏本")</f>
        <v>回本</v>
      </c>
      <c r="E112" s="3">
        <v>110</v>
      </c>
      <c r="F112" s="31">
        <f>(社保费用计算表!D15*12)*(1+社保费用计算表!G15)^每年金额计算!E112</f>
        <v>169558.71730533638</v>
      </c>
      <c r="G112" s="22">
        <f>SUM($F$3:F112)</f>
        <v>7668294.5825721575</v>
      </c>
    </row>
    <row r="113" spans="1:7" x14ac:dyDescent="0.25">
      <c r="A113" s="3" t="str">
        <f>IF(G113&gt;社保费用计算表!D14,"回本","亏本")</f>
        <v>回本</v>
      </c>
      <c r="E113" s="3">
        <v>111</v>
      </c>
      <c r="F113" s="31">
        <f>(社保费用计算表!D15*12)*(1+社保费用计算表!G15)^每年金额计算!E113</f>
        <v>172949.89165144303</v>
      </c>
      <c r="G113" s="22">
        <f>SUM($F$3:F113)</f>
        <v>7841244.4742236007</v>
      </c>
    </row>
    <row r="114" spans="1:7" x14ac:dyDescent="0.25">
      <c r="A114" s="3" t="str">
        <f>IF(G114&gt;社保费用计算表!D14,"回本","亏本")</f>
        <v>回本</v>
      </c>
      <c r="E114" s="3">
        <v>112</v>
      </c>
      <c r="F114" s="31">
        <f>(社保费用计算表!D15*12)*(1+社保费用计算表!G15)^每年金额计算!E114</f>
        <v>176408.88948447196</v>
      </c>
      <c r="G114" s="22">
        <f>SUM($F$3:F114)</f>
        <v>8017653.3637080723</v>
      </c>
    </row>
    <row r="115" spans="1:7" x14ac:dyDescent="0.25">
      <c r="A115" s="3" t="str">
        <f>IF(G115&gt;社保费用计算表!D14,"回本","亏本")</f>
        <v>回本</v>
      </c>
      <c r="E115" s="3">
        <v>113</v>
      </c>
      <c r="F115" s="31">
        <f>(社保费用计算表!D15*12)*(1+社保费用计算表!G15)^每年金额计算!E115</f>
        <v>179937.06727416138</v>
      </c>
      <c r="G115" s="22">
        <f>SUM($F$3:F115)</f>
        <v>8197590.430982234</v>
      </c>
    </row>
    <row r="116" spans="1:7" x14ac:dyDescent="0.25">
      <c r="A116" s="3" t="str">
        <f>IF(G116&gt;社保费用计算表!D14,"回本","亏本")</f>
        <v>回本</v>
      </c>
      <c r="E116" s="3">
        <v>114</v>
      </c>
      <c r="F116" s="31">
        <f>(社保费用计算表!D15*12)*(1+社保费用计算表!G15)^每年金额计算!E116</f>
        <v>183535.80861964464</v>
      </c>
      <c r="G116" s="22">
        <f>SUM($F$3:F116)</f>
        <v>8381126.2396018784</v>
      </c>
    </row>
    <row r="117" spans="1:7" x14ac:dyDescent="0.25">
      <c r="A117" s="3" t="str">
        <f>IF(G117&gt;社保费用计算表!D14,"回本","亏本")</f>
        <v>回本</v>
      </c>
      <c r="E117" s="3">
        <v>115</v>
      </c>
      <c r="F117" s="31">
        <f>(社保费用计算表!D15*12)*(1+社保费用计算表!G15)^每年金额计算!E117</f>
        <v>187206.5247920375</v>
      </c>
      <c r="G117" s="22">
        <f>SUM($F$3:F117)</f>
        <v>8568332.7643939164</v>
      </c>
    </row>
    <row r="118" spans="1:7" x14ac:dyDescent="0.25">
      <c r="A118" s="3" t="str">
        <f>IF(G118&gt;社保费用计算表!D14,"回本","亏本")</f>
        <v>回本</v>
      </c>
      <c r="E118" s="3">
        <v>116</v>
      </c>
      <c r="F118" s="31">
        <f>(社保费用计算表!D15*12)*(1+社保费用计算表!G15)^每年金额计算!E118</f>
        <v>190950.6552878783</v>
      </c>
      <c r="G118" s="22">
        <f>SUM($F$3:F118)</f>
        <v>8759283.4196817949</v>
      </c>
    </row>
    <row r="119" spans="1:7" x14ac:dyDescent="0.25">
      <c r="A119" s="3" t="str">
        <f>IF(G119&gt;社保费用计算表!D14,"回本","亏本")</f>
        <v>回本</v>
      </c>
      <c r="E119" s="3">
        <v>117</v>
      </c>
      <c r="F119" s="31">
        <f>(社保费用计算表!D15*12)*(1+社保费用计算表!G15)^每年金额计算!E119</f>
        <v>194769.6683936358</v>
      </c>
      <c r="G119" s="22">
        <f>SUM($F$3:F119)</f>
        <v>8954053.0880754311</v>
      </c>
    </row>
    <row r="120" spans="1:7" x14ac:dyDescent="0.25">
      <c r="A120" s="3" t="str">
        <f>IF(G120&gt;社保费用计算表!D14,"回本","亏本")</f>
        <v>回本</v>
      </c>
      <c r="E120" s="3">
        <v>118</v>
      </c>
      <c r="F120" s="31">
        <f>(社保费用计算表!D15*12)*(1+社保费用计算表!G15)^每年金额计算!E120</f>
        <v>198665.06176150855</v>
      </c>
      <c r="G120" s="22">
        <f>SUM($F$3:F120)</f>
        <v>9152718.1498369388</v>
      </c>
    </row>
    <row r="121" spans="1:7" x14ac:dyDescent="0.25">
      <c r="A121" s="3" t="str">
        <f>IF(G121&gt;社保费用计算表!D14,"回本","亏本")</f>
        <v>回本</v>
      </c>
      <c r="E121" s="3">
        <v>119</v>
      </c>
      <c r="F121" s="31">
        <f>(社保费用计算表!D15*12)*(1+社保费用计算表!G15)^每年金额计算!E121</f>
        <v>202638.36299673867</v>
      </c>
      <c r="G121" s="22">
        <f>SUM($F$3:F121)</f>
        <v>9355356.5128336772</v>
      </c>
    </row>
    <row r="122" spans="1:7" x14ac:dyDescent="0.25">
      <c r="A122" s="3" t="str">
        <f>IF(G122&gt;社保费用计算表!D14,"回本","亏本")</f>
        <v>回本</v>
      </c>
      <c r="E122" s="3">
        <v>120</v>
      </c>
      <c r="F122" s="31">
        <f>(社保费用计算表!D15*12)*(1+社保费用计算表!G15)^每年金额计算!E122</f>
        <v>206691.13025667347</v>
      </c>
      <c r="G122" s="22">
        <f>SUM($F$3:F122)</f>
        <v>9562047.6430903506</v>
      </c>
    </row>
    <row r="123" spans="1:7" x14ac:dyDescent="0.25">
      <c r="A123" s="3" t="str">
        <f>IF(G123&gt;社保费用计算表!D14,"回本","亏本")</f>
        <v>回本</v>
      </c>
      <c r="E123" s="3">
        <v>121</v>
      </c>
      <c r="F123" s="31">
        <f>(社保费用计算表!D15*12)*(1+社保费用计算表!G15)^每年金额计算!E123</f>
        <v>210824.95286180693</v>
      </c>
      <c r="G123" s="22">
        <f>SUM($F$3:F123)</f>
        <v>9772872.5959521569</v>
      </c>
    </row>
    <row r="124" spans="1:7" x14ac:dyDescent="0.25">
      <c r="A124" s="3" t="str">
        <f>IF(G124&gt;社保费用计算表!D14,"回本","亏本")</f>
        <v>回本</v>
      </c>
      <c r="E124" s="3">
        <v>122</v>
      </c>
      <c r="F124" s="31">
        <f>(社保费用计算表!D15*12)*(1+社保费用计算表!G15)^每年金额计算!E124</f>
        <v>215041.45191904309</v>
      </c>
      <c r="G124" s="22">
        <f>SUM($F$3:F124)</f>
        <v>9987914.0478712004</v>
      </c>
    </row>
    <row r="125" spans="1:7" x14ac:dyDescent="0.25">
      <c r="A125" s="3" t="str">
        <f>IF(G125&gt;社保费用计算表!D14,"回本","亏本")</f>
        <v>回本</v>
      </c>
      <c r="E125" s="3">
        <v>123</v>
      </c>
      <c r="F125" s="31">
        <f>(社保费用计算表!D15*12)*(1+社保费用计算表!G15)^每年金额计算!E125</f>
        <v>219342.28095742391</v>
      </c>
      <c r="G125" s="22">
        <f>SUM($F$3:F125)</f>
        <v>10207256.328828624</v>
      </c>
    </row>
    <row r="126" spans="1:7" x14ac:dyDescent="0.25">
      <c r="A126" s="3" t="str">
        <f>IF(G126&gt;社保费用计算表!D14,"回本","亏本")</f>
        <v>回本</v>
      </c>
      <c r="E126" s="3">
        <v>124</v>
      </c>
      <c r="F126" s="31">
        <f>(社保费用计算表!D15*12)*(1+社保费用计算表!G15)^每年金额计算!E126</f>
        <v>223729.12657657242</v>
      </c>
      <c r="G126" s="22">
        <f>SUM($F$3:F126)</f>
        <v>10430985.455405196</v>
      </c>
    </row>
    <row r="127" spans="1:7" x14ac:dyDescent="0.25">
      <c r="A127" s="3" t="str">
        <f>IF(G127&gt;社保费用计算表!D14,"回本","亏本")</f>
        <v>回本</v>
      </c>
      <c r="E127" s="3">
        <v>125</v>
      </c>
      <c r="F127" s="31">
        <f>(社保费用计算表!D15*12)*(1+社保费用计算表!G15)^每年金额计算!E127</f>
        <v>228203.70910810388</v>
      </c>
      <c r="G127" s="22">
        <f>SUM($F$3:F127)</f>
        <v>10659189.164513299</v>
      </c>
    </row>
    <row r="128" spans="1:7" x14ac:dyDescent="0.25">
      <c r="A128" s="3" t="str">
        <f>IF(G128&gt;社保费用计算表!D14,"回本","亏本")</f>
        <v>回本</v>
      </c>
      <c r="E128" s="3">
        <v>126</v>
      </c>
      <c r="F128" s="31">
        <f>(社保费用计算表!D15*12)*(1+社保费用计算表!G15)^每年金额计算!E128</f>
        <v>232767.78329026597</v>
      </c>
      <c r="G128" s="22">
        <f>SUM($F$3:F128)</f>
        <v>10891956.947803564</v>
      </c>
    </row>
    <row r="129" spans="1:7" x14ac:dyDescent="0.25">
      <c r="A129" s="3" t="str">
        <f>IF(G129&gt;社保费用计算表!D14,"回本","亏本")</f>
        <v>回本</v>
      </c>
      <c r="E129" s="3">
        <v>127</v>
      </c>
      <c r="F129" s="31">
        <f>(社保费用计算表!D15*12)*(1+社保费用计算表!G15)^每年金额计算!E129</f>
        <v>237423.13895607123</v>
      </c>
      <c r="G129" s="22">
        <f>SUM($F$3:F129)</f>
        <v>11129380.086759636</v>
      </c>
    </row>
    <row r="130" spans="1:7" x14ac:dyDescent="0.25">
      <c r="A130" s="3" t="str">
        <f>IF(G130&gt;社保费用计算表!D14,"回本","亏本")</f>
        <v>回本</v>
      </c>
      <c r="E130" s="3">
        <v>128</v>
      </c>
      <c r="F130" s="31">
        <f>(社保费用计算表!D15*12)*(1+社保费用计算表!G15)^每年金额计算!E130</f>
        <v>242171.6017351927</v>
      </c>
      <c r="G130" s="22">
        <f>SUM($F$3:F130)</f>
        <v>11371551.688494829</v>
      </c>
    </row>
    <row r="131" spans="1:7" x14ac:dyDescent="0.25">
      <c r="A131" s="3" t="str">
        <f>IF(G131&gt;社保费用计算表!D14,"回本","亏本")</f>
        <v>回本</v>
      </c>
      <c r="E131" s="3">
        <v>129</v>
      </c>
      <c r="F131" s="31">
        <f>(社保费用计算表!D15*12)*(1+社保费用计算表!G15)^每年金额计算!E131</f>
        <v>247015.03376989654</v>
      </c>
      <c r="G131" s="22">
        <f>SUM($F$3:F131)</f>
        <v>11618566.722264726</v>
      </c>
    </row>
    <row r="132" spans="1:7" x14ac:dyDescent="0.25">
      <c r="A132" s="3" t="str">
        <f>IF(G132&gt;社保费用计算表!D14,"回本","亏本")</f>
        <v>回本</v>
      </c>
      <c r="E132" s="3">
        <v>130</v>
      </c>
      <c r="F132" s="31">
        <f>(社保费用计算表!D15*12)*(1+社保费用计算表!G15)^每年金额计算!E132</f>
        <v>251955.33444529449</v>
      </c>
      <c r="G132" s="22">
        <f>SUM($F$3:F132)</f>
        <v>11870522.05671002</v>
      </c>
    </row>
    <row r="133" spans="1:7" x14ac:dyDescent="0.25">
      <c r="A133" s="3" t="str">
        <f>IF(G133&gt;社保费用计算表!D14,"回本","亏本")</f>
        <v>回本</v>
      </c>
      <c r="E133" s="3">
        <v>131</v>
      </c>
      <c r="F133" s="31">
        <f>(社保费用计算表!D15*12)*(1+社保费用计算表!G15)^每年金额计算!E133</f>
        <v>256994.44113420037</v>
      </c>
      <c r="G133" s="22">
        <f>SUM($F$3:F133)</f>
        <v>12127516.497844219</v>
      </c>
    </row>
    <row r="134" spans="1:7" x14ac:dyDescent="0.25">
      <c r="A134" s="3" t="str">
        <f>IF(G134&gt;社保费用计算表!D14,"回本","亏本")</f>
        <v>回本</v>
      </c>
      <c r="E134" s="3">
        <v>132</v>
      </c>
      <c r="F134" s="31">
        <f>(社保费用计算表!D15*12)*(1+社保费用计算表!G15)^每年金额计算!E134</f>
        <v>262134.32995688438</v>
      </c>
      <c r="G134" s="22">
        <f>SUM($F$3:F134)</f>
        <v>12389650.827801103</v>
      </c>
    </row>
    <row r="135" spans="1:7" x14ac:dyDescent="0.25">
      <c r="A135" s="3" t="str">
        <f>IF(G135&gt;社保费用计算表!D14,"回本","亏本")</f>
        <v>回本</v>
      </c>
      <c r="E135" s="3">
        <v>133</v>
      </c>
      <c r="F135" s="31">
        <f>(社保费用计算表!D15*12)*(1+社保费用计算表!G15)^每年金额计算!E135</f>
        <v>267377.01655602211</v>
      </c>
      <c r="G135" s="22">
        <f>SUM($F$3:F135)</f>
        <v>12657027.844357125</v>
      </c>
    </row>
    <row r="136" spans="1:7" x14ac:dyDescent="0.25">
      <c r="A136" s="3" t="str">
        <f>IF(G136&gt;社保费用计算表!D14,"回本","亏本")</f>
        <v>回本</v>
      </c>
      <c r="E136" s="3">
        <v>134</v>
      </c>
      <c r="F136" s="31">
        <f>(社保费用计算表!D15*12)*(1+社保费用计算表!G15)^每年金额计算!E136</f>
        <v>272724.55688714248</v>
      </c>
      <c r="G136" s="22">
        <f>SUM($F$3:F136)</f>
        <v>12929752.401244268</v>
      </c>
    </row>
    <row r="137" spans="1:7" x14ac:dyDescent="0.25">
      <c r="A137" s="3" t="str">
        <f>IF(G137&gt;社保费用计算表!D14,"回本","亏本")</f>
        <v>回本</v>
      </c>
      <c r="E137" s="3">
        <v>135</v>
      </c>
      <c r="F137" s="31">
        <f>(社保费用计算表!D15*12)*(1+社保费用计算表!G15)^每年金额计算!E137</f>
        <v>278179.0480248853</v>
      </c>
      <c r="G137" s="22">
        <f>SUM($F$3:F137)</f>
        <v>13207931.449269153</v>
      </c>
    </row>
    <row r="138" spans="1:7" x14ac:dyDescent="0.25">
      <c r="A138" s="3" t="str">
        <f>IF(G138&gt;社保费用计算表!D14,"回本","亏本")</f>
        <v>回本</v>
      </c>
      <c r="E138" s="3">
        <v>136</v>
      </c>
      <c r="F138" s="31">
        <f>(社保费用计算表!D15*12)*(1+社保费用计算表!G15)^每年金额计算!E138</f>
        <v>283742.62898538302</v>
      </c>
      <c r="G138" s="22">
        <f>SUM($F$3:F138)</f>
        <v>13491674.078254536</v>
      </c>
    </row>
    <row r="139" spans="1:7" x14ac:dyDescent="0.25">
      <c r="A139" s="3" t="str">
        <f>IF(G139&gt;社保费用计算表!D14,"回本","亏本")</f>
        <v>回本</v>
      </c>
      <c r="E139" s="3">
        <v>137</v>
      </c>
      <c r="F139" s="31">
        <f>(社保费用计算表!D15*12)*(1+社保费用计算表!G15)^每年金额计算!E139</f>
        <v>289417.48156509071</v>
      </c>
      <c r="G139" s="22">
        <f>SUM($F$3:F139)</f>
        <v>13781091.559819626</v>
      </c>
    </row>
    <row r="140" spans="1:7" x14ac:dyDescent="0.25">
      <c r="A140" s="3" t="str">
        <f>IF(G140&gt;社保费用计算表!D14,"回本","亏本")</f>
        <v>回本</v>
      </c>
      <c r="E140" s="3">
        <v>138</v>
      </c>
      <c r="F140" s="31">
        <f>(社保费用计算表!D15*12)*(1+社保费用计算表!G15)^每年金额计算!E140</f>
        <v>295205.83119639254</v>
      </c>
      <c r="G140" s="22">
        <f>SUM($F$3:F140)</f>
        <v>14076297.391016018</v>
      </c>
    </row>
    <row r="141" spans="1:7" x14ac:dyDescent="0.25">
      <c r="A141" s="3" t="str">
        <f>IF(G141&gt;社保费用计算表!D14,"回本","亏本")</f>
        <v>回本</v>
      </c>
      <c r="E141" s="3">
        <v>139</v>
      </c>
      <c r="F141" s="31">
        <f>(社保费用计算表!D15*12)*(1+社保费用计算表!G15)^每年金额计算!E141</f>
        <v>301109.94782032032</v>
      </c>
      <c r="G141" s="22">
        <f>SUM($F$3:F141)</f>
        <v>14377407.338836338</v>
      </c>
    </row>
    <row r="142" spans="1:7" x14ac:dyDescent="0.25">
      <c r="A142" s="3" t="str">
        <f>IF(G142&gt;社保费用计算表!D14,"回本","亏本")</f>
        <v>回本</v>
      </c>
      <c r="E142" s="3">
        <v>140</v>
      </c>
      <c r="F142" s="31">
        <f>(社保费用计算表!D15*12)*(1+社保费用计算表!G15)^每年金额计算!E142</f>
        <v>307132.14677672676</v>
      </c>
      <c r="G142" s="22">
        <f>SUM($F$3:F142)</f>
        <v>14684539.485613065</v>
      </c>
    </row>
    <row r="143" spans="1:7" x14ac:dyDescent="0.25">
      <c r="A143" s="3" t="str">
        <f>IF(G143&gt;社保费用计算表!D14,"回本","亏本")</f>
        <v>回本</v>
      </c>
      <c r="E143" s="3">
        <v>141</v>
      </c>
      <c r="F143" s="31">
        <f>(社保费用计算表!D15*12)*(1+社保费用计算表!G15)^每年金额计算!E143</f>
        <v>313274.78971226129</v>
      </c>
      <c r="G143" s="22">
        <f>SUM($F$3:F143)</f>
        <v>14997814.275325326</v>
      </c>
    </row>
    <row r="144" spans="1:7" x14ac:dyDescent="0.25">
      <c r="A144" s="3" t="str">
        <f>IF(G144&gt;社保费用计算表!D14,"回本","亏本")</f>
        <v>回本</v>
      </c>
      <c r="E144" s="3">
        <v>142</v>
      </c>
      <c r="F144" s="31">
        <f>(社保费用计算表!D15*12)*(1+社保费用计算表!G15)^每年金额计算!E144</f>
        <v>319540.28550650657</v>
      </c>
      <c r="G144" s="22">
        <f>SUM($F$3:F144)</f>
        <v>15317354.560831834</v>
      </c>
    </row>
    <row r="145" spans="1:7" x14ac:dyDescent="0.25">
      <c r="A145" s="3" t="str">
        <f>IF(G145&gt;社保费用计算表!D14,"回本","亏本")</f>
        <v>回本</v>
      </c>
      <c r="E145" s="3">
        <v>143</v>
      </c>
      <c r="F145" s="31">
        <f>(社保费用计算表!D15*12)*(1+社保费用计算表!G15)^每年金额计算!E145</f>
        <v>325931.09121663659</v>
      </c>
      <c r="G145" s="22">
        <f>SUM($F$3:F145)</f>
        <v>15643285.65204847</v>
      </c>
    </row>
    <row r="146" spans="1:7" x14ac:dyDescent="0.25">
      <c r="A146" s="3" t="str">
        <f>IF(G146&gt;社保费用计算表!D14,"回本","亏本")</f>
        <v>回本</v>
      </c>
      <c r="E146" s="3">
        <v>144</v>
      </c>
      <c r="F146" s="31">
        <f>(社保费用计算表!D15*12)*(1+社保费用计算表!G15)^每年金额计算!E146</f>
        <v>332449.71304096939</v>
      </c>
      <c r="G146" s="22">
        <f>SUM($F$3:F146)</f>
        <v>15975735.365089441</v>
      </c>
    </row>
    <row r="147" spans="1:7" x14ac:dyDescent="0.25">
      <c r="A147" s="3" t="str">
        <f>IF(G147&gt;社保费用计算表!D14,"回本","亏本")</f>
        <v>回本</v>
      </c>
      <c r="E147" s="3">
        <v>145</v>
      </c>
      <c r="F147" s="31">
        <f>(社保费用计算表!D15*12)*(1+社保费用计算表!G15)^每年金额计算!E147</f>
        <v>339098.70730178879</v>
      </c>
      <c r="G147" s="22">
        <f>SUM($F$3:F147)</f>
        <v>16314834.072391229</v>
      </c>
    </row>
    <row r="148" spans="1:7" x14ac:dyDescent="0.25">
      <c r="A148" s="3" t="str">
        <f>IF(G148&gt;社保费用计算表!D14,"回本","亏本")</f>
        <v>回本</v>
      </c>
      <c r="E148" s="3">
        <v>146</v>
      </c>
      <c r="F148" s="31">
        <f>(社保费用计算表!D15*12)*(1+社保费用计算表!G15)^每年金额计算!E148</f>
        <v>345880.68144782452</v>
      </c>
      <c r="G148" s="22">
        <f>SUM($F$3:F148)</f>
        <v>16660714.753839053</v>
      </c>
    </row>
    <row r="149" spans="1:7" x14ac:dyDescent="0.25">
      <c r="A149" s="3" t="str">
        <f>IF(G149&gt;社保费用计算表!D14,"回本","亏本")</f>
        <v>回本</v>
      </c>
      <c r="E149" s="3">
        <v>147</v>
      </c>
      <c r="F149" s="31">
        <f>(社保费用计算表!D15*12)*(1+社保费用计算表!G15)^每年金额计算!E149</f>
        <v>352798.29507678101</v>
      </c>
      <c r="G149" s="22">
        <f>SUM($F$3:F149)</f>
        <v>17013513.048915833</v>
      </c>
    </row>
    <row r="150" spans="1:7" x14ac:dyDescent="0.25">
      <c r="A150" s="3" t="str">
        <f>IF(G150&gt;社保费用计算表!D14,"回本","亏本")</f>
        <v>回本</v>
      </c>
      <c r="E150" s="3">
        <v>148</v>
      </c>
      <c r="F150" s="31">
        <f>(社保费用计算表!D15*12)*(1+社保费用计算表!G15)^每年金额计算!E150</f>
        <v>359854.26097831671</v>
      </c>
      <c r="G150" s="22">
        <f>SUM($F$3:F150)</f>
        <v>17373367.309894148</v>
      </c>
    </row>
    <row r="151" spans="1:7" x14ac:dyDescent="0.25">
      <c r="A151" s="3" t="str">
        <f>IF(G151&gt;社保费用计算表!D14,"回本","亏本")</f>
        <v>回本</v>
      </c>
      <c r="E151" s="3">
        <v>149</v>
      </c>
      <c r="F151" s="31">
        <f>(社保费用计算表!D15*12)*(1+社保费用计算表!G15)^每年金额计算!E151</f>
        <v>367051.34619788296</v>
      </c>
      <c r="G151" s="22">
        <f>SUM($F$3:F151)</f>
        <v>17740418.656092033</v>
      </c>
    </row>
    <row r="152" spans="1:7" x14ac:dyDescent="0.25">
      <c r="A152" s="3" t="str">
        <f>IF(G152&gt;社保费用计算表!D14,"回本","亏本")</f>
        <v>回本</v>
      </c>
      <c r="E152" s="3">
        <v>150</v>
      </c>
      <c r="F152" s="31">
        <f>(社保费用计算表!D15*12)*(1+社保费用计算表!G15)^每年金额计算!E152</f>
        <v>374392.3731218407</v>
      </c>
      <c r="G152" s="22">
        <f>SUM($F$3:F152)</f>
        <v>18114811.029213872</v>
      </c>
    </row>
    <row r="153" spans="1:7" x14ac:dyDescent="0.25">
      <c r="A153" s="3" t="str">
        <f>IF(G153&gt;社保费用计算表!D14,"回本","亏本")</f>
        <v>回本</v>
      </c>
      <c r="E153" s="3">
        <v>151</v>
      </c>
      <c r="F153" s="31">
        <f>(社保费用计算表!D15*12)*(1+社保费用计算表!G15)^每年金额计算!E153</f>
        <v>381880.22058427741</v>
      </c>
      <c r="G153" s="22">
        <f>SUM($F$3:F153)</f>
        <v>18496691.249798149</v>
      </c>
    </row>
    <row r="154" spans="1:7" x14ac:dyDescent="0.25">
      <c r="A154" s="3" t="str">
        <f>IF(G154&gt;社保费用计算表!D14,"回本","亏本")</f>
        <v>回本</v>
      </c>
      <c r="E154" s="3">
        <v>152</v>
      </c>
      <c r="F154" s="31">
        <f>(社保费用计算表!D15*12)*(1+社保费用计算表!G15)^每年金额计算!E154</f>
        <v>389517.82499596302</v>
      </c>
      <c r="G154" s="22">
        <f>SUM($F$3:F154)</f>
        <v>18886209.074794114</v>
      </c>
    </row>
    <row r="155" spans="1:7" x14ac:dyDescent="0.25">
      <c r="A155" s="3" t="str">
        <f>IF(G155&gt;社保费用计算表!D14,"回本","亏本")</f>
        <v>回本</v>
      </c>
      <c r="E155" s="3">
        <v>153</v>
      </c>
      <c r="F155" s="31">
        <f>(社保费用计算表!D15*12)*(1+社保费用计算表!G15)^每年金额计算!E155</f>
        <v>397308.18149588222</v>
      </c>
      <c r="G155" s="22">
        <f>SUM($F$3:F155)</f>
        <v>19283517.256289996</v>
      </c>
    </row>
    <row r="156" spans="1:7" x14ac:dyDescent="0.25">
      <c r="A156" s="3" t="str">
        <f>IF(G156&gt;社保费用计算表!D14,"回本","亏本")</f>
        <v>回本</v>
      </c>
      <c r="E156" s="3">
        <v>154</v>
      </c>
      <c r="F156" s="31">
        <f>(社保费用计算表!D15*12)*(1+社保费用计算表!G15)^每年金额计算!E156</f>
        <v>405254.34512579988</v>
      </c>
      <c r="G156" s="22">
        <f>SUM($F$3:F156)</f>
        <v>19688771.601415794</v>
      </c>
    </row>
    <row r="157" spans="1:7" x14ac:dyDescent="0.25">
      <c r="A157" s="3" t="str">
        <f>IF(G157&gt;社保费用计算表!D14,"回本","亏本")</f>
        <v>回本</v>
      </c>
      <c r="E157" s="3">
        <v>155</v>
      </c>
      <c r="F157" s="31">
        <f>(社保费用计算表!D15*12)*(1+社保费用计算表!G15)^每年金额计算!E157</f>
        <v>413359.43202831584</v>
      </c>
      <c r="G157" s="22">
        <f>SUM($F$3:F157)</f>
        <v>20102131.03344411</v>
      </c>
    </row>
    <row r="158" spans="1:7" x14ac:dyDescent="0.25">
      <c r="A158" s="3" t="str">
        <f>IF(G158&gt;社保费用计算表!D14,"回本","亏本")</f>
        <v>回本</v>
      </c>
      <c r="E158" s="3">
        <v>156</v>
      </c>
      <c r="F158" s="31">
        <f>(社保费用计算表!D15*12)*(1+社保费用计算表!G15)^每年金额计算!E158</f>
        <v>421626.62066888227</v>
      </c>
      <c r="G158" s="22">
        <f>SUM($F$3:F158)</f>
        <v>20523757.654112991</v>
      </c>
    </row>
    <row r="159" spans="1:7" x14ac:dyDescent="0.25">
      <c r="A159" s="3" t="str">
        <f>IF(G159&gt;社保费用计算表!D14,"回本","亏本")</f>
        <v>回本</v>
      </c>
      <c r="E159" s="3">
        <v>157</v>
      </c>
      <c r="F159" s="31">
        <f>(社保费用计算表!D15*12)*(1+社保费用计算表!G15)^每年金额计算!E159</f>
        <v>430059.15308225987</v>
      </c>
      <c r="G159" s="22">
        <f>SUM($F$3:F159)</f>
        <v>20953816.80719525</v>
      </c>
    </row>
    <row r="160" spans="1:7" x14ac:dyDescent="0.25">
      <c r="A160" s="3" t="str">
        <f>IF(G160&gt;社保费用计算表!D14,"回本","亏本")</f>
        <v>回本</v>
      </c>
      <c r="E160" s="3">
        <v>158</v>
      </c>
      <c r="F160" s="31">
        <f>(社保费用计算表!D15*12)*(1+社保费用计算表!G15)^每年金额计算!E160</f>
        <v>438660.33614390506</v>
      </c>
      <c r="G160" s="22">
        <f>SUM($F$3:F160)</f>
        <v>21392477.143339153</v>
      </c>
    </row>
    <row r="161" spans="1:7" x14ac:dyDescent="0.25">
      <c r="A161" s="3" t="str">
        <f>IF(G161&gt;社保费用计算表!D14,"回本","亏本")</f>
        <v>回本</v>
      </c>
      <c r="E161" s="3">
        <v>159</v>
      </c>
      <c r="F161" s="31">
        <f>(社保费用计算表!D15*12)*(1+社保费用计算表!G15)^每年金额计算!E161</f>
        <v>447433.54286678304</v>
      </c>
      <c r="G161" s="22">
        <f>SUM($F$3:F161)</f>
        <v>21839910.686205935</v>
      </c>
    </row>
    <row r="162" spans="1:7" x14ac:dyDescent="0.25">
      <c r="A162" s="3" t="str">
        <f>IF(G162&gt;社保费用计算表!D14,"回本","亏本")</f>
        <v>回本</v>
      </c>
      <c r="E162" s="3">
        <v>160</v>
      </c>
      <c r="F162" s="31">
        <f>(社保费用计算表!D15*12)*(1+社保费用计算表!G15)^每年金额计算!E162</f>
        <v>456382.21372411883</v>
      </c>
      <c r="G162" s="22">
        <f>SUM($F$3:F162)</f>
        <v>22296292.899930052</v>
      </c>
    </row>
    <row r="163" spans="1:7" x14ac:dyDescent="0.25">
      <c r="A163" s="3" t="str">
        <f>IF(G163&gt;社保费用计算表!D14,"回本","亏本")</f>
        <v>回本</v>
      </c>
      <c r="E163" s="3">
        <v>161</v>
      </c>
      <c r="F163" s="31">
        <f>(社保费用计算表!D15*12)*(1+社保费用计算表!G15)^每年金额计算!E163</f>
        <v>465509.85799860122</v>
      </c>
      <c r="G163" s="22">
        <f>SUM($F$3:F163)</f>
        <v>22761802.757928655</v>
      </c>
    </row>
    <row r="164" spans="1:7" x14ac:dyDescent="0.25">
      <c r="A164" s="3" t="str">
        <f>IF(G164&gt;社保费用计算表!D14,"回本","亏本")</f>
        <v>回本</v>
      </c>
      <c r="E164" s="3">
        <v>162</v>
      </c>
      <c r="F164" s="31">
        <f>(社保费用计算表!D15*12)*(1+社保费用计算表!G15)^每年金额计算!E164</f>
        <v>474820.0551585732</v>
      </c>
      <c r="G164" s="22">
        <f>SUM($F$3:F164)</f>
        <v>23236622.813087229</v>
      </c>
    </row>
    <row r="165" spans="1:7" x14ac:dyDescent="0.25">
      <c r="A165" s="3" t="str">
        <f>IF(G165&gt;社保费用计算表!D14,"回本","亏本")</f>
        <v>回本</v>
      </c>
      <c r="E165" s="3">
        <v>163</v>
      </c>
      <c r="F165" s="31">
        <f>(社保费用计算表!D15*12)*(1+社保费用计算表!G15)^每年金额计算!E165</f>
        <v>484316.45626174466</v>
      </c>
      <c r="G165" s="22">
        <f>SUM($F$3:F165)</f>
        <v>23720939.269348972</v>
      </c>
    </row>
    <row r="166" spans="1:7" x14ac:dyDescent="0.25">
      <c r="A166" s="3" t="str">
        <f>IF(G166&gt;社保费用计算表!D14,"回本","亏本")</f>
        <v>回本</v>
      </c>
      <c r="E166" s="3">
        <v>164</v>
      </c>
      <c r="F166" s="31">
        <f>(社保费用计算表!D15*12)*(1+社保费用计算表!G15)^每年金额计算!E166</f>
        <v>494002.78538697946</v>
      </c>
      <c r="G166" s="22">
        <f>SUM($F$3:F166)</f>
        <v>24214942.054735951</v>
      </c>
    </row>
    <row r="167" spans="1:7" x14ac:dyDescent="0.25">
      <c r="A167" s="3" t="str">
        <f>IF(G167&gt;社保费用计算表!D14,"回本","亏本")</f>
        <v>回本</v>
      </c>
      <c r="E167" s="3">
        <v>165</v>
      </c>
      <c r="F167" s="31">
        <f>(社保费用计算表!D15*12)*(1+社保费用计算表!G15)^每年金额计算!E167</f>
        <v>503882.84109471913</v>
      </c>
      <c r="G167" s="22">
        <f>SUM($F$3:F167)</f>
        <v>24718824.895830669</v>
      </c>
    </row>
    <row r="168" spans="1:7" x14ac:dyDescent="0.25">
      <c r="A168" s="3" t="str">
        <f>IF(G168&gt;社保费用计算表!D14,"回本","亏本")</f>
        <v>回本</v>
      </c>
      <c r="E168" s="3">
        <v>166</v>
      </c>
      <c r="F168" s="31">
        <f>(社保费用计算表!D15*12)*(1+社保费用计算表!G15)^每年金额计算!E168</f>
        <v>513960.49791661365</v>
      </c>
      <c r="G168" s="22">
        <f>SUM($F$3:F168)</f>
        <v>25232785.393747281</v>
      </c>
    </row>
    <row r="169" spans="1:7" x14ac:dyDescent="0.25">
      <c r="A169" s="3" t="str">
        <f>IF(G169&gt;社保费用计算表!D14,"回本","亏本")</f>
        <v>回本</v>
      </c>
      <c r="E169" s="3">
        <v>167</v>
      </c>
      <c r="F169" s="31">
        <f>(社保费用计算表!D15*12)*(1+社保费用计算表!G15)^每年金额计算!E169</f>
        <v>524239.70787494566</v>
      </c>
      <c r="G169" s="22">
        <f>SUM($F$3:F169)</f>
        <v>25757025.101622228</v>
      </c>
    </row>
    <row r="170" spans="1:7" x14ac:dyDescent="0.25">
      <c r="A170" s="3" t="str">
        <f>IF(G170&gt;社保费用计算表!D14,"回本","亏本")</f>
        <v>回本</v>
      </c>
      <c r="E170" s="3">
        <v>168</v>
      </c>
      <c r="F170" s="31">
        <f>(社保费用计算表!D15*12)*(1+社保费用计算表!G15)^每年金额计算!E170</f>
        <v>534724.5020324447</v>
      </c>
      <c r="G170" s="22">
        <f>SUM($F$3:F170)</f>
        <v>26291749.603654671</v>
      </c>
    </row>
    <row r="171" spans="1:7" x14ac:dyDescent="0.25">
      <c r="A171" s="3" t="str">
        <f>IF(G171&gt;社保费用计算表!D14,"回本","亏本")</f>
        <v>回本</v>
      </c>
      <c r="E171" s="3">
        <v>169</v>
      </c>
      <c r="F171" s="31">
        <f>(社保费用计算表!D15*12)*(1+社保费用计算表!G15)^每年金额计算!E171</f>
        <v>545418.99207309366</v>
      </c>
      <c r="G171" s="22">
        <f>SUM($F$3:F171)</f>
        <v>26837168.595727764</v>
      </c>
    </row>
    <row r="172" spans="1:7" x14ac:dyDescent="0.25">
      <c r="A172" s="3" t="str">
        <f>IF(G172&gt;社保费用计算表!D14,"回本","亏本")</f>
        <v>回本</v>
      </c>
      <c r="E172" s="3">
        <v>170</v>
      </c>
      <c r="F172" s="31">
        <f>(社保费用计算表!D15*12)*(1+社保费用计算表!G15)^每年金额计算!E172</f>
        <v>556327.37191455544</v>
      </c>
      <c r="G172" s="22">
        <f>SUM($F$3:F172)</f>
        <v>27393495.967642318</v>
      </c>
    </row>
    <row r="173" spans="1:7" x14ac:dyDescent="0.25">
      <c r="A173" s="3" t="str">
        <f>IF(G173&gt;社保费用计算表!D14,"回本","亏本")</f>
        <v>回本</v>
      </c>
      <c r="E173" s="3">
        <v>171</v>
      </c>
      <c r="F173" s="31">
        <f>(社保费用计算表!D15*12)*(1+社保费用计算表!G15)^每年金额计算!E173</f>
        <v>567453.91935284657</v>
      </c>
      <c r="G173" s="22">
        <f>SUM($F$3:F173)</f>
        <v>27960949.886995167</v>
      </c>
    </row>
    <row r="174" spans="1:7" x14ac:dyDescent="0.25">
      <c r="A174" s="3" t="str">
        <f>IF(G174&gt;社保费用计算表!D14,"回本","亏本")</f>
        <v>回本</v>
      </c>
      <c r="E174" s="3">
        <v>172</v>
      </c>
      <c r="F174" s="31">
        <f>(社保费用计算表!D15*12)*(1+社保费用计算表!G15)^每年金额计算!E174</f>
        <v>578802.99773990351</v>
      </c>
      <c r="G174" s="22">
        <f>SUM($F$3:F174)</f>
        <v>28539752.88473507</v>
      </c>
    </row>
    <row r="175" spans="1:7" x14ac:dyDescent="0.25">
      <c r="A175" s="3" t="str">
        <f>IF(G175&gt;社保费用计算表!D14,"回本","亏本")</f>
        <v>回本</v>
      </c>
      <c r="E175" s="3">
        <v>173</v>
      </c>
      <c r="F175" s="31">
        <f>(社保费用计算表!D15*12)*(1+社保费用计算表!G15)^每年金额计算!E175</f>
        <v>590379.05769470148</v>
      </c>
      <c r="G175" s="22">
        <f>SUM($F$3:F175)</f>
        <v>29130131.942429774</v>
      </c>
    </row>
    <row r="176" spans="1:7" x14ac:dyDescent="0.25">
      <c r="A176" s="3" t="str">
        <f>IF(G176&gt;社保费用计算表!D14,"回本","亏本")</f>
        <v>回本</v>
      </c>
      <c r="E176" s="3">
        <v>174</v>
      </c>
      <c r="F176" s="31">
        <f>(社保费用计算表!D15*12)*(1+社保费用计算表!G15)^每年金额计算!E176</f>
        <v>602186.63884859567</v>
      </c>
      <c r="G176" s="22">
        <f>SUM($F$3:F176)</f>
        <v>29732318.581278369</v>
      </c>
    </row>
    <row r="177" spans="1:7" x14ac:dyDescent="0.25">
      <c r="A177" s="3" t="str">
        <f>IF(G177&gt;社保费用计算表!D14,"回本","亏本")</f>
        <v>回本</v>
      </c>
      <c r="E177" s="3">
        <v>175</v>
      </c>
      <c r="F177" s="31">
        <f>(社保费用计算表!D15*12)*(1+社保费用计算表!G15)^每年金额计算!E177</f>
        <v>614230.37162556732</v>
      </c>
      <c r="G177" s="22">
        <f>SUM($F$3:F177)</f>
        <v>30346548.952903938</v>
      </c>
    </row>
    <row r="178" spans="1:7" x14ac:dyDescent="0.25">
      <c r="A178" s="3" t="str">
        <f>IF(G178&gt;社保费用计算表!D14,"回本","亏本")</f>
        <v>回本</v>
      </c>
      <c r="E178" s="3">
        <v>176</v>
      </c>
      <c r="F178" s="31">
        <f>(社保费用计算表!D15*12)*(1+社保费用计算表!G15)^每年金额计算!E178</f>
        <v>626514.97905807884</v>
      </c>
      <c r="G178" s="22">
        <f>SUM($F$3:F178)</f>
        <v>30973063.931962017</v>
      </c>
    </row>
    <row r="179" spans="1:7" x14ac:dyDescent="0.25">
      <c r="A179" s="3" t="str">
        <f>IF(G179&gt;社保费用计算表!D14,"回本","亏本")</f>
        <v>回本</v>
      </c>
      <c r="E179" s="3">
        <v>177</v>
      </c>
      <c r="F179" s="31">
        <f>(社保费用计算表!D15*12)*(1+社保费用计算表!G15)^每年金额计算!E179</f>
        <v>639045.27863924042</v>
      </c>
      <c r="G179" s="22">
        <f>SUM($F$3:F179)</f>
        <v>31612109.210601259</v>
      </c>
    </row>
    <row r="180" spans="1:7" x14ac:dyDescent="0.25">
      <c r="A180" s="3" t="str">
        <f>IF(G180&gt;社保费用计算表!D14,"回本","亏本")</f>
        <v>回本</v>
      </c>
      <c r="E180" s="3">
        <v>178</v>
      </c>
      <c r="F180" s="31">
        <f>(社保费用计算表!D15*12)*(1+社保费用计算表!G15)^每年金额计算!E180</f>
        <v>651826.18421202514</v>
      </c>
      <c r="G180" s="22">
        <f>SUM($F$3:F180)</f>
        <v>32263935.394813284</v>
      </c>
    </row>
    <row r="181" spans="1:7" x14ac:dyDescent="0.25">
      <c r="A181" s="3" t="str">
        <f>IF(G181&gt;社保费用计算表!D14,"回本","亏本")</f>
        <v>回本</v>
      </c>
      <c r="E181" s="3">
        <v>179</v>
      </c>
      <c r="F181" s="31">
        <f>(社保费用计算表!D15*12)*(1+社保费用计算表!G15)^每年金额计算!E181</f>
        <v>664862.70789626567</v>
      </c>
      <c r="G181" s="22">
        <f>SUM($F$3:F181)</f>
        <v>32928798.10270955</v>
      </c>
    </row>
    <row r="182" spans="1:7" x14ac:dyDescent="0.25">
      <c r="A182" s="3" t="str">
        <f>IF(G182&gt;社保费用计算表!D14,"回本","亏本")</f>
        <v>回本</v>
      </c>
      <c r="E182" s="3">
        <v>180</v>
      </c>
      <c r="F182" s="31">
        <f>(社保费用计算表!D15*12)*(1+社保费用计算表!G15)^每年金额计算!E182</f>
        <v>678159.96205419104</v>
      </c>
      <c r="G182" s="22">
        <f>SUM($F$3:F182)</f>
        <v>33606958.06476374</v>
      </c>
    </row>
    <row r="183" spans="1:7" x14ac:dyDescent="0.25">
      <c r="A183" s="3" t="str">
        <f>IF(G183&gt;社保费用计算表!D14,"回本","亏本")</f>
        <v>回本</v>
      </c>
      <c r="E183" s="3">
        <v>181</v>
      </c>
      <c r="F183" s="31">
        <f>(社保费用计算表!D15*12)*(1+社保费用计算表!G15)^每年金额计算!E183</f>
        <v>691723.16129527485</v>
      </c>
      <c r="G183" s="22">
        <f>SUM($F$3:F183)</f>
        <v>34298681.226059012</v>
      </c>
    </row>
    <row r="184" spans="1:7" x14ac:dyDescent="0.25">
      <c r="A184" s="3" t="str">
        <f>IF(G184&gt;社保费用计算表!D14,"回本","亏本")</f>
        <v>回本</v>
      </c>
      <c r="E184" s="3">
        <v>182</v>
      </c>
      <c r="F184" s="31">
        <f>(社保费用计算表!D15*12)*(1+社保费用计算表!G15)^每年金额计算!E184</f>
        <v>705557.62452118052</v>
      </c>
      <c r="G184" s="22">
        <f>SUM($F$3:F184)</f>
        <v>35004238.850580193</v>
      </c>
    </row>
    <row r="185" spans="1:7" x14ac:dyDescent="0.25">
      <c r="A185" s="3" t="str">
        <f>IF(G185&gt;社保费用计算表!D14,"回本","亏本")</f>
        <v>回本</v>
      </c>
      <c r="E185" s="3">
        <v>183</v>
      </c>
      <c r="F185" s="31">
        <f>(社保费用计算表!D15*12)*(1+社保费用计算表!G15)^每年金额计算!E185</f>
        <v>719668.7770116037</v>
      </c>
      <c r="G185" s="22">
        <f>SUM($F$3:F185)</f>
        <v>35723907.627591796</v>
      </c>
    </row>
    <row r="186" spans="1:7" x14ac:dyDescent="0.25">
      <c r="A186" s="3" t="str">
        <f>IF(G186&gt;社保费用计算表!D14,"回本","亏本")</f>
        <v>回本</v>
      </c>
      <c r="E186" s="3">
        <v>184</v>
      </c>
      <c r="F186" s="31">
        <f>(社保费用计算表!D15*12)*(1+社保费用计算表!G15)^每年金额计算!E186</f>
        <v>734062.15255183598</v>
      </c>
      <c r="G186" s="22">
        <f>SUM($F$3:F186)</f>
        <v>36457969.780143633</v>
      </c>
    </row>
    <row r="187" spans="1:7" x14ac:dyDescent="0.25">
      <c r="A187" s="3" t="str">
        <f>IF(G187&gt;社保费用计算表!D14,"回本","亏本")</f>
        <v>回本</v>
      </c>
      <c r="E187" s="3">
        <v>185</v>
      </c>
      <c r="F187" s="31">
        <f>(社保费用计算表!D15*12)*(1+社保费用计算表!G15)^每年金额计算!E187</f>
        <v>748743.3956028726</v>
      </c>
      <c r="G187" s="22">
        <f>SUM($F$3:F187)</f>
        <v>37206713.175746508</v>
      </c>
    </row>
    <row r="188" spans="1:7" x14ac:dyDescent="0.25">
      <c r="A188" s="3" t="str">
        <f>IF(G188&gt;社保费用计算表!D14,"回本","亏本")</f>
        <v>回本</v>
      </c>
      <c r="E188" s="3">
        <v>186</v>
      </c>
      <c r="F188" s="31">
        <f>(社保费用计算表!D15*12)*(1+社保费用计算表!G15)^每年金额计算!E188</f>
        <v>763718.26351493015</v>
      </c>
      <c r="G188" s="22">
        <f>SUM($F$3:F188)</f>
        <v>37970431.439261436</v>
      </c>
    </row>
    <row r="189" spans="1:7" x14ac:dyDescent="0.25">
      <c r="A189" s="3" t="str">
        <f>IF(G189&gt;社保费用计算表!D14,"回本","亏本")</f>
        <v>回本</v>
      </c>
      <c r="E189" s="3">
        <v>187</v>
      </c>
      <c r="F189" s="31">
        <f>(社保费用计算表!D15*12)*(1+社保费用计算表!G15)^每年金额计算!E189</f>
        <v>778992.62878522871</v>
      </c>
      <c r="G189" s="22">
        <f>SUM($F$3:F189)</f>
        <v>38749424.068046667</v>
      </c>
    </row>
    <row r="190" spans="1:7" x14ac:dyDescent="0.25">
      <c r="A190" s="3" t="str">
        <f>IF(G190&gt;社保费用计算表!D14,"回本","亏本")</f>
        <v>回本</v>
      </c>
      <c r="E190" s="3">
        <v>188</v>
      </c>
      <c r="F190" s="31">
        <f>(社保费用计算表!D15*12)*(1+社保费用计算表!G15)^每年金额计算!E190</f>
        <v>794572.48136093339</v>
      </c>
      <c r="G190" s="22">
        <f>SUM($F$3:F190)</f>
        <v>39543996.549407601</v>
      </c>
    </row>
    <row r="191" spans="1:7" x14ac:dyDescent="0.25">
      <c r="A191" s="3" t="str">
        <f>IF(G191&gt;社保费用计算表!D14,"回本","亏本")</f>
        <v>回本</v>
      </c>
      <c r="E191" s="3">
        <v>189</v>
      </c>
      <c r="F191" s="31">
        <f>(社保费用计算表!D15*12)*(1+社保费用计算表!G15)^每年金额计算!E191</f>
        <v>810463.93098815193</v>
      </c>
      <c r="G191" s="22">
        <f>SUM($F$3:F191)</f>
        <v>40354460.480395757</v>
      </c>
    </row>
    <row r="192" spans="1:7" x14ac:dyDescent="0.25">
      <c r="A192" s="3" t="str">
        <f>IF(G192&gt;社保费用计算表!D14,"回本","亏本")</f>
        <v>回本</v>
      </c>
      <c r="E192" s="3">
        <v>190</v>
      </c>
      <c r="F192" s="31">
        <f>(社保费用计算表!D15*12)*(1+社保费用计算表!G15)^每年金额计算!E192</f>
        <v>826673.20960791514</v>
      </c>
      <c r="G192" s="22">
        <f>SUM($F$3:F192)</f>
        <v>41181133.690003671</v>
      </c>
    </row>
    <row r="193" spans="1:7" x14ac:dyDescent="0.25">
      <c r="A193" s="3" t="str">
        <f>IF(G193&gt;社保费用计算表!D14,"回本","亏本")</f>
        <v>回本</v>
      </c>
      <c r="E193" s="3">
        <v>191</v>
      </c>
      <c r="F193" s="31">
        <f>(社保费用计算表!D15*12)*(1+社保费用计算表!G15)^每年金额计算!E193</f>
        <v>843206.67380007321</v>
      </c>
      <c r="G193" s="22">
        <f>SUM($F$3:F193)</f>
        <v>42024340.363803744</v>
      </c>
    </row>
    <row r="194" spans="1:7" x14ac:dyDescent="0.25">
      <c r="A194" s="3" t="str">
        <f>IF(G194&gt;社保费用计算表!D14,"回本","亏本")</f>
        <v>回本</v>
      </c>
      <c r="E194" s="3">
        <v>192</v>
      </c>
      <c r="F194" s="31">
        <f>(社保费用计算表!D15*12)*(1+社保费用计算表!G15)^每年金额计算!E194</f>
        <v>860070.80727607477</v>
      </c>
      <c r="G194" s="22">
        <f>SUM($F$3:F194)</f>
        <v>42884411.171079822</v>
      </c>
    </row>
    <row r="195" spans="1:7" x14ac:dyDescent="0.25">
      <c r="A195" s="3" t="str">
        <f>IF(G195&gt;社保费用计算表!D14,"回本","亏本")</f>
        <v>回本</v>
      </c>
      <c r="E195" s="3">
        <v>193</v>
      </c>
      <c r="F195" s="31">
        <f>(社保费用计算表!D15*12)*(1+社保费用计算表!G15)^每年金额计算!E195</f>
        <v>877272.22342159634</v>
      </c>
      <c r="G195" s="22">
        <f>SUM($F$3:F195)</f>
        <v>43761683.394501418</v>
      </c>
    </row>
    <row r="196" spans="1:7" x14ac:dyDescent="0.25">
      <c r="A196" s="3" t="str">
        <f>IF(G196&gt;社保费用计算表!D14,"回本","亏本")</f>
        <v>回本</v>
      </c>
      <c r="E196" s="3">
        <v>194</v>
      </c>
      <c r="F196" s="31">
        <f>(社保费用计算表!D15*12)*(1+社保费用计算表!G15)^每年金额计算!E196</f>
        <v>894817.66789002821</v>
      </c>
      <c r="G196" s="22">
        <f>SUM($F$3:F196)</f>
        <v>44656501.062391445</v>
      </c>
    </row>
    <row r="197" spans="1:7" x14ac:dyDescent="0.25">
      <c r="A197" s="3" t="str">
        <f>IF(G197&gt;社保费用计算表!D14,"回本","亏本")</f>
        <v>回本</v>
      </c>
      <c r="E197" s="3">
        <v>195</v>
      </c>
      <c r="F197" s="31">
        <f>(社保费用计算表!D15*12)*(1+社保费用计算表!G15)^每年金额计算!E197</f>
        <v>912714.02124782884</v>
      </c>
      <c r="G197" s="22">
        <f>SUM($F$3:F197)</f>
        <v>45569215.083639272</v>
      </c>
    </row>
    <row r="198" spans="1:7" x14ac:dyDescent="0.25">
      <c r="A198" s="3" t="str">
        <f>IF(G198&gt;社保费用计算表!D14,"回本","亏本")</f>
        <v>回本</v>
      </c>
      <c r="E198" s="3">
        <v>196</v>
      </c>
      <c r="F198" s="31">
        <f>(社保费用计算表!D15*12)*(1+社保费用计算表!G15)^每年金额计算!E198</f>
        <v>930968.30167278531</v>
      </c>
      <c r="G198" s="22">
        <f>SUM($F$3:F198)</f>
        <v>46500183.385312058</v>
      </c>
    </row>
    <row r="199" spans="1:7" x14ac:dyDescent="0.25">
      <c r="A199" s="3" t="str">
        <f>IF(G199&gt;社保费用计算表!D14,"回本","亏本")</f>
        <v>回本</v>
      </c>
      <c r="E199" s="3">
        <v>197</v>
      </c>
      <c r="F199" s="31">
        <f>(社保费用计算表!D15*12)*(1+社保费用计算表!G15)^每年金额计算!E199</f>
        <v>949587.66770624113</v>
      </c>
      <c r="G199" s="22">
        <f>SUM($F$3:F199)</f>
        <v>47449771.053018302</v>
      </c>
    </row>
    <row r="200" spans="1:7" x14ac:dyDescent="0.25">
      <c r="A200" s="3" t="str">
        <f>IF(G200&gt;社保费用计算表!D14,"回本","亏本")</f>
        <v>回本</v>
      </c>
      <c r="E200" s="3">
        <v>198</v>
      </c>
      <c r="F200" s="31">
        <f>(社保费用计算表!D15*12)*(1+社保费用计算表!G15)^每年金额计算!E200</f>
        <v>968579.42106036597</v>
      </c>
      <c r="G200" s="22">
        <f>SUM($F$3:F200)</f>
        <v>48418350.47407867</v>
      </c>
    </row>
    <row r="201" spans="1:7" x14ac:dyDescent="0.25">
      <c r="A201" s="3" t="str">
        <f>IF(G201&gt;社保费用计算表!D14,"回本","亏本")</f>
        <v>回本</v>
      </c>
      <c r="E201" s="3">
        <v>199</v>
      </c>
      <c r="F201" s="31">
        <f>(社保费用计算表!D15*12)*(1+社保费用计算表!G15)^每年金额计算!E201</f>
        <v>987951.00948157313</v>
      </c>
      <c r="G201" s="22">
        <f>SUM($F$3:F201)</f>
        <v>49406301.483560242</v>
      </c>
    </row>
    <row r="202" spans="1:7" x14ac:dyDescent="0.25">
      <c r="A202" s="3" t="str">
        <f>IF(G202&gt;社保费用计算表!D14,"回本","亏本")</f>
        <v>回本</v>
      </c>
      <c r="E202" s="3">
        <v>200</v>
      </c>
      <c r="F202" s="31">
        <f>(社保费用计算表!D15*12)*(1+社保费用计算表!G15)^每年金额计算!E202</f>
        <v>1007710.0296712047</v>
      </c>
      <c r="G202" s="22">
        <f>SUM($F$3:F202)</f>
        <v>50414011.513231449</v>
      </c>
    </row>
    <row r="203" spans="1:7" x14ac:dyDescent="0.25">
      <c r="A203" s="3" t="str">
        <f>IF(G203&gt;社保费用计算表!D14,"回本","亏本")</f>
        <v>回本</v>
      </c>
      <c r="E203" s="3">
        <v>201</v>
      </c>
      <c r="F203" s="31">
        <f>(社保费用计算表!D15*12)*(1+社保费用计算表!G15)^每年金额计算!E203</f>
        <v>1027864.2302646287</v>
      </c>
      <c r="G203" s="22">
        <f>SUM($F$3:F203)</f>
        <v>51441875.743496075</v>
      </c>
    </row>
    <row r="204" spans="1:7" x14ac:dyDescent="0.25">
      <c r="A204" s="3" t="str">
        <f>IF(G204&gt;社保费用计算表!D14,"回本","亏本")</f>
        <v>回本</v>
      </c>
      <c r="E204" s="3">
        <v>202</v>
      </c>
      <c r="F204" s="31">
        <f>(社保费用计算表!D15*12)*(1+社保费用计算表!G15)^每年金额计算!E204</f>
        <v>1048421.5148699214</v>
      </c>
      <c r="G204" s="22">
        <f>SUM($F$3:F204)</f>
        <v>52490297.258365996</v>
      </c>
    </row>
    <row r="205" spans="1:7" x14ac:dyDescent="0.25">
      <c r="A205" s="3" t="str">
        <f>IF(G205&gt;社保费用计算表!D14,"回本","亏本")</f>
        <v>回本</v>
      </c>
      <c r="E205" s="3">
        <v>203</v>
      </c>
      <c r="F205" s="31">
        <f>(社保费用计算表!D15*12)*(1+社保费用计算表!G15)^每年金额计算!E205</f>
        <v>1069389.9451673196</v>
      </c>
      <c r="G205" s="22">
        <f>SUM($F$3:F205)</f>
        <v>53559687.203533314</v>
      </c>
    </row>
    <row r="206" spans="1:7" x14ac:dyDescent="0.25">
      <c r="A206" s="3" t="str">
        <f>IF(G206&gt;社保费用计算表!D14,"回本","亏本")</f>
        <v>回本</v>
      </c>
      <c r="E206" s="3">
        <v>204</v>
      </c>
      <c r="F206" s="31">
        <f>(社保费用计算表!D15*12)*(1+社保费用计算表!G15)^每年金额计算!E206</f>
        <v>1090777.7440706661</v>
      </c>
      <c r="G206" s="22">
        <f>SUM($F$3:F206)</f>
        <v>54650464.947603978</v>
      </c>
    </row>
    <row r="207" spans="1:7" x14ac:dyDescent="0.25">
      <c r="A207" s="3" t="str">
        <f>IF(G207&gt;社保费用计算表!D14,"回本","亏本")</f>
        <v>回本</v>
      </c>
      <c r="E207" s="3">
        <v>205</v>
      </c>
      <c r="F207" s="31">
        <f>(社保费用计算表!D15*12)*(1+社保费用计算表!G15)^每年金额计算!E207</f>
        <v>1112593.2989520796</v>
      </c>
      <c r="G207" s="22">
        <f>SUM($F$3:F207)</f>
        <v>55763058.246556059</v>
      </c>
    </row>
    <row r="208" spans="1:7" x14ac:dyDescent="0.25">
      <c r="A208" s="3" t="str">
        <f>IF(G208&gt;社保费用计算表!D14,"回本","亏本")</f>
        <v>回本</v>
      </c>
      <c r="E208" s="3">
        <v>206</v>
      </c>
      <c r="F208" s="31">
        <f>(社保费用计算表!D15*12)*(1+社保费用计算表!G15)^每年金额计算!E208</f>
        <v>1134845.164931121</v>
      </c>
      <c r="G208" s="22">
        <f>SUM($F$3:F208)</f>
        <v>56897903.411487177</v>
      </c>
    </row>
    <row r="209" spans="1:7" x14ac:dyDescent="0.25">
      <c r="A209" s="3" t="str">
        <f>IF(G209&gt;社保费用计算表!D14,"回本","亏本")</f>
        <v>回本</v>
      </c>
      <c r="E209" s="3">
        <v>207</v>
      </c>
      <c r="F209" s="31">
        <f>(社保费用计算表!D15*12)*(1+社保费用计算表!G15)^每年金额计算!E209</f>
        <v>1157542.0682297433</v>
      </c>
      <c r="G209" s="22">
        <f>SUM($F$3:F209)</f>
        <v>58055445.479716919</v>
      </c>
    </row>
    <row r="210" spans="1:7" x14ac:dyDescent="0.25">
      <c r="A210" s="3" t="str">
        <f>IF(G210&gt;社保费用计算表!D14,"回本","亏本")</f>
        <v>回本</v>
      </c>
      <c r="E210" s="3">
        <v>208</v>
      </c>
      <c r="F210" s="31">
        <f>(社保费用计算表!D15*12)*(1+社保费用计算表!G15)^每年金额计算!E210</f>
        <v>1180692.9095943382</v>
      </c>
      <c r="G210" s="22">
        <f>SUM($F$3:F210)</f>
        <v>59236138.389311254</v>
      </c>
    </row>
    <row r="211" spans="1:7" x14ac:dyDescent="0.25">
      <c r="A211" s="3" t="str">
        <f>IF(G211&gt;社保费用计算表!D14,"回本","亏本")</f>
        <v>回本</v>
      </c>
      <c r="E211" s="3">
        <v>209</v>
      </c>
      <c r="F211" s="31">
        <f>(社保费用计算表!D15*12)*(1+社保费用计算表!G15)^每年金额计算!E211</f>
        <v>1204306.7677862251</v>
      </c>
      <c r="G211" s="22">
        <f>SUM($F$3:F211)</f>
        <v>60440445.157097481</v>
      </c>
    </row>
    <row r="212" spans="1:7" x14ac:dyDescent="0.25">
      <c r="A212" s="3" t="str">
        <f>IF(G212&gt;社保费用计算表!D14,"回本","亏本")</f>
        <v>回本</v>
      </c>
      <c r="E212" s="3">
        <v>210</v>
      </c>
      <c r="F212" s="31">
        <f>(社保费用计算表!D15*12)*(1+社保费用计算表!G15)^每年金额计算!E212</f>
        <v>1228392.9031419496</v>
      </c>
      <c r="G212" s="22">
        <f>SUM($F$3:F212)</f>
        <v>61668838.060239434</v>
      </c>
    </row>
    <row r="213" spans="1:7" x14ac:dyDescent="0.25">
      <c r="A213" s="3" t="str">
        <f>IF(G213&gt;社保费用计算表!D14,"回本","亏本")</f>
        <v>回本</v>
      </c>
      <c r="E213" s="3">
        <v>211</v>
      </c>
      <c r="F213" s="31">
        <f>(社保费用计算表!D15*12)*(1+社保费用计算表!G15)^每年金额计算!E213</f>
        <v>1252960.7612047885</v>
      </c>
      <c r="G213" s="22">
        <f>SUM($F$3:F213)</f>
        <v>62921798.821444221</v>
      </c>
    </row>
    <row r="214" spans="1:7" x14ac:dyDescent="0.25">
      <c r="A214" s="3" t="str">
        <f>IF(G214&gt;社保费用计算表!D14,"回本","亏本")</f>
        <v>回本</v>
      </c>
      <c r="E214" s="3">
        <v>212</v>
      </c>
      <c r="F214" s="31">
        <f>(社保费用计算表!D15*12)*(1+社保费用计算表!G15)^每年金额计算!E214</f>
        <v>1278019.9764288841</v>
      </c>
      <c r="G214" s="22">
        <f>SUM($F$3:F214)</f>
        <v>64199818.797873102</v>
      </c>
    </row>
    <row r="215" spans="1:7" x14ac:dyDescent="0.25">
      <c r="A215" s="3" t="str">
        <f>IF(G215&gt;社保费用计算表!D14,"回本","亏本")</f>
        <v>回本</v>
      </c>
      <c r="E215" s="3">
        <v>213</v>
      </c>
      <c r="F215" s="31">
        <f>(社保费用计算表!D15*12)*(1+社保费用计算表!G15)^每年金额计算!E215</f>
        <v>1303580.375957462</v>
      </c>
      <c r="G215" s="22">
        <f>SUM($F$3:F215)</f>
        <v>65503399.173830561</v>
      </c>
    </row>
    <row r="216" spans="1:7" x14ac:dyDescent="0.25">
      <c r="A216" s="3" t="str">
        <f>IF(G216&gt;社保费用计算表!D14,"回本","亏本")</f>
        <v>回本</v>
      </c>
      <c r="E216" s="3">
        <v>214</v>
      </c>
      <c r="F216" s="31">
        <f>(社保费用计算表!D15*12)*(1+社保费用计算表!G15)^每年金额计算!E216</f>
        <v>1329651.9834766113</v>
      </c>
      <c r="G216" s="22">
        <f>SUM($F$3:F216)</f>
        <v>66833051.15730717</v>
      </c>
    </row>
    <row r="217" spans="1:7" x14ac:dyDescent="0.25">
      <c r="A217" s="3" t="str">
        <f>IF(G217&gt;社保费用计算表!D14,"回本","亏本")</f>
        <v>回本</v>
      </c>
      <c r="E217" s="3">
        <v>215</v>
      </c>
      <c r="F217" s="31">
        <f>(社保费用计算表!D15*12)*(1+社保费用计算表!G15)^每年金额计算!E217</f>
        <v>1356245.0231461432</v>
      </c>
      <c r="G217" s="22">
        <f>SUM($F$3:F217)</f>
        <v>68189296.180453315</v>
      </c>
    </row>
    <row r="218" spans="1:7" x14ac:dyDescent="0.25">
      <c r="A218" s="3" t="str">
        <f>IF(G218&gt;社保费用计算表!D14,"回本","亏本")</f>
        <v>回本</v>
      </c>
      <c r="E218" s="3">
        <v>216</v>
      </c>
      <c r="F218" s="31">
        <f>(社保费用计算表!D15*12)*(1+社保费用计算表!G15)^每年金额计算!E218</f>
        <v>1383369.9236090661</v>
      </c>
      <c r="G218" s="22">
        <f>SUM($F$3:F218)</f>
        <v>69572666.104062378</v>
      </c>
    </row>
    <row r="219" spans="1:7" x14ac:dyDescent="0.25">
      <c r="A219" s="3" t="str">
        <f>IF(G219&gt;社保费用计算表!D14,"回本","亏本")</f>
        <v>回本</v>
      </c>
      <c r="E219" s="3">
        <v>217</v>
      </c>
      <c r="F219" s="31">
        <f>(社保费用计算表!D15*12)*(1+社保费用计算表!G15)^每年金额计算!E219</f>
        <v>1411037.3220812476</v>
      </c>
      <c r="G219" s="22">
        <f>SUM($F$3:F219)</f>
        <v>70983703.426143631</v>
      </c>
    </row>
    <row r="220" spans="1:7" x14ac:dyDescent="0.25">
      <c r="A220" s="3" t="str">
        <f>IF(G220&gt;社保费用计算表!D14,"回本","亏本")</f>
        <v>回本</v>
      </c>
      <c r="E220" s="3">
        <v>218</v>
      </c>
      <c r="F220" s="31">
        <f>(社保费用计算表!D15*12)*(1+社保费用计算表!G15)^每年金额计算!E220</f>
        <v>1439258.0685228726</v>
      </c>
      <c r="G220" s="22">
        <f>SUM($F$3:F220)</f>
        <v>72422961.494666502</v>
      </c>
    </row>
    <row r="221" spans="1:7" x14ac:dyDescent="0.25">
      <c r="A221" s="3" t="str">
        <f>IF(G221&gt;社保费用计算表!D14,"回本","亏本")</f>
        <v>回本</v>
      </c>
      <c r="E221" s="3">
        <v>219</v>
      </c>
      <c r="F221" s="31">
        <f>(社保费用计算表!D15*12)*(1+社保费用计算表!G15)^每年金额计算!E221</f>
        <v>1468043.2298933298</v>
      </c>
      <c r="G221" s="22">
        <f>SUM($F$3:F221)</f>
        <v>73891004.724559829</v>
      </c>
    </row>
    <row r="222" spans="1:7" x14ac:dyDescent="0.25">
      <c r="A222" s="3" t="str">
        <f>IF(G222&gt;社保费用计算表!D14,"回本","亏本")</f>
        <v>回本</v>
      </c>
      <c r="E222" s="3">
        <v>220</v>
      </c>
      <c r="F222" s="31">
        <f>(社保费用计算表!D15*12)*(1+社保费用计算表!G15)^每年金额计算!E222</f>
        <v>1497404.0944911968</v>
      </c>
      <c r="G222" s="22">
        <f>SUM($F$3:F222)</f>
        <v>75388408.819051027</v>
      </c>
    </row>
    <row r="223" spans="1:7" x14ac:dyDescent="0.25">
      <c r="A223" s="3" t="str">
        <f>IF(G223&gt;社保费用计算表!D14,"回本","亏本")</f>
        <v>回本</v>
      </c>
      <c r="E223" s="3">
        <v>221</v>
      </c>
      <c r="F223" s="31">
        <f>(社保费用计算表!D15*12)*(1+社保费用计算表!G15)^每年金额计算!E223</f>
        <v>1527352.1763810206</v>
      </c>
      <c r="G223" s="22">
        <f>SUM($F$3:F223)</f>
        <v>76915760.995432049</v>
      </c>
    </row>
    <row r="224" spans="1:7" x14ac:dyDescent="0.25">
      <c r="A224" s="3" t="str">
        <f>IF(G224&gt;社保费用计算表!D14,"回本","亏本")</f>
        <v>回本</v>
      </c>
      <c r="E224" s="3">
        <v>222</v>
      </c>
      <c r="F224" s="31">
        <f>(社保费用计算表!D15*12)*(1+社保费用计算表!G15)^每年金额计算!E224</f>
        <v>1557899.219908641</v>
      </c>
      <c r="G224" s="22">
        <f>SUM($F$3:F224)</f>
        <v>78473660.215340689</v>
      </c>
    </row>
    <row r="225" spans="1:7" x14ac:dyDescent="0.25">
      <c r="A225" s="3" t="str">
        <f>IF(G225&gt;社保费用计算表!D14,"回本","亏本")</f>
        <v>回本</v>
      </c>
      <c r="E225" s="3">
        <v>223</v>
      </c>
      <c r="F225" s="31">
        <f>(社保费用计算表!D15*12)*(1+社保费用计算表!G15)^每年金额计算!E225</f>
        <v>1589057.2043068134</v>
      </c>
      <c r="G225" s="22">
        <f>SUM($F$3:F225)</f>
        <v>80062717.4196475</v>
      </c>
    </row>
    <row r="226" spans="1:7" x14ac:dyDescent="0.25">
      <c r="A226" s="3" t="str">
        <f>IF(G226&gt;社保费用计算表!D14,"回本","亏本")</f>
        <v>回本</v>
      </c>
      <c r="E226" s="3">
        <v>224</v>
      </c>
      <c r="F226" s="31">
        <f>(社保费用计算表!D15*12)*(1+社保费用计算表!G15)^每年金额计算!E226</f>
        <v>1620838.3483929499</v>
      </c>
      <c r="G226" s="22">
        <f>SUM($F$3:F226)</f>
        <v>81683555.768040448</v>
      </c>
    </row>
    <row r="227" spans="1:7" x14ac:dyDescent="0.25">
      <c r="A227" s="3" t="str">
        <f>IF(G227&gt;社保费用计算表!D14,"回本","亏本")</f>
        <v>回本</v>
      </c>
      <c r="E227" s="3">
        <v>225</v>
      </c>
      <c r="F227" s="31">
        <f>(社保费用计算表!D15*12)*(1+社保费用计算表!G15)^每年金额计算!E227</f>
        <v>1653255.115360809</v>
      </c>
      <c r="G227" s="22">
        <f>SUM($F$3:F227)</f>
        <v>83336810.88340126</v>
      </c>
    </row>
    <row r="228" spans="1:7" x14ac:dyDescent="0.25">
      <c r="A228" s="3" t="str">
        <f>IF(G228&gt;社保费用计算表!D14,"回本","亏本")</f>
        <v>回本</v>
      </c>
      <c r="E228" s="3">
        <v>226</v>
      </c>
      <c r="F228" s="31">
        <f>(社保费用计算表!D15*12)*(1+社保费用计算表!G15)^每年金额计算!E228</f>
        <v>1686320.2176680248</v>
      </c>
      <c r="G228" s="22">
        <f>SUM($F$3:F228)</f>
        <v>85023131.101069286</v>
      </c>
    </row>
    <row r="229" spans="1:7" x14ac:dyDescent="0.25">
      <c r="A229" s="3" t="str">
        <f>IF(G229&gt;社保费用计算表!D14,"回本","亏本")</f>
        <v>回本</v>
      </c>
      <c r="E229" s="3">
        <v>227</v>
      </c>
      <c r="F229" s="31">
        <f>(社保费用计算表!D15*12)*(1+社保费用计算表!G15)^每年金额计算!E229</f>
        <v>1720046.6220213855</v>
      </c>
      <c r="G229" s="22">
        <f>SUM($F$3:F229)</f>
        <v>86743177.723090678</v>
      </c>
    </row>
    <row r="230" spans="1:7" x14ac:dyDescent="0.25">
      <c r="A230" s="3" t="str">
        <f>IF(G230&gt;社保费用计算表!D14,"回本","亏本")</f>
        <v>回本</v>
      </c>
      <c r="E230" s="3">
        <v>228</v>
      </c>
      <c r="F230" s="31">
        <f>(社保费用计算表!D15*12)*(1+社保费用计算表!G15)^每年金额计算!E230</f>
        <v>1754447.5544618133</v>
      </c>
      <c r="G230" s="22">
        <f>SUM($F$3:F230)</f>
        <v>88497625.277552485</v>
      </c>
    </row>
    <row r="231" spans="1:7" x14ac:dyDescent="0.25">
      <c r="A231" s="3" t="str">
        <f>IF(G231&gt;社保费用计算表!D14,"回本","亏本")</f>
        <v>回本</v>
      </c>
      <c r="E231" s="3">
        <v>229</v>
      </c>
      <c r="F231" s="31">
        <f>(社保费用计算表!D15*12)*(1+社保费用计算表!G15)^每年金额计算!E231</f>
        <v>1789536.5055510497</v>
      </c>
      <c r="G231" s="22">
        <f>SUM($F$3:F231)</f>
        <v>90287161.783103541</v>
      </c>
    </row>
    <row r="232" spans="1:7" x14ac:dyDescent="0.25">
      <c r="A232" s="3" t="str">
        <f>IF(G232&gt;社保费用计算表!D14,"回本","亏本")</f>
        <v>回本</v>
      </c>
      <c r="E232" s="3">
        <v>230</v>
      </c>
      <c r="F232" s="31">
        <f>(社保费用计算表!D15*12)*(1+社保费用计算表!G15)^每年金额计算!E232</f>
        <v>1825327.2356620708</v>
      </c>
      <c r="G232" s="22">
        <f>SUM($F$3:F232)</f>
        <v>92112489.018765613</v>
      </c>
    </row>
    <row r="233" spans="1:7" x14ac:dyDescent="0.25">
      <c r="A233" s="3" t="str">
        <f>IF(G233&gt;社保费用计算表!D14,"回本","亏本")</f>
        <v>回本</v>
      </c>
      <c r="E233" s="3">
        <v>231</v>
      </c>
      <c r="F233" s="31">
        <f>(社保费用计算表!D15*12)*(1+社保费用计算表!G15)^每年金额计算!E233</f>
        <v>1861833.7803753116</v>
      </c>
      <c r="G233" s="22">
        <f>SUM($F$3:F233)</f>
        <v>93974322.79914093</v>
      </c>
    </row>
    <row r="234" spans="1:7" x14ac:dyDescent="0.25">
      <c r="A234" s="3" t="str">
        <f>IF(G234&gt;社保费用计算表!D14,"回本","亏本")</f>
        <v>回本</v>
      </c>
      <c r="E234" s="3">
        <v>232</v>
      </c>
      <c r="F234" s="31">
        <f>(社保费用计算表!D15*12)*(1+社保费用计算表!G15)^每年金额计算!E234</f>
        <v>1899070.4559828185</v>
      </c>
      <c r="G234" s="22">
        <f>SUM($F$3:F234)</f>
        <v>95873393.255123749</v>
      </c>
    </row>
    <row r="235" spans="1:7" x14ac:dyDescent="0.25">
      <c r="A235" s="3" t="str">
        <f>IF(G235&gt;社保费用计算表!D14,"回本","亏本")</f>
        <v>回本</v>
      </c>
      <c r="E235" s="3">
        <v>233</v>
      </c>
      <c r="F235" s="31">
        <f>(社保费用计算表!D15*12)*(1+社保费用计算表!G15)^每年金额计算!E235</f>
        <v>1937051.8651024746</v>
      </c>
      <c r="G235" s="22">
        <f>SUM($F$3:F235)</f>
        <v>97810445.120226219</v>
      </c>
    </row>
    <row r="236" spans="1:7" x14ac:dyDescent="0.25">
      <c r="A236" s="3" t="str">
        <f>IF(G236&gt;社保费用计算表!D14,"回本","亏本")</f>
        <v>回本</v>
      </c>
      <c r="E236" s="3">
        <v>234</v>
      </c>
      <c r="F236" s="31">
        <f>(社保费用计算表!D15*12)*(1+社保费用计算表!G15)^每年金额计算!E236</f>
        <v>1975792.9024045239</v>
      </c>
      <c r="G236" s="22">
        <f>SUM($F$3:F236)</f>
        <v>99786238.022630736</v>
      </c>
    </row>
    <row r="237" spans="1:7" x14ac:dyDescent="0.25">
      <c r="A237" s="3" t="str">
        <f>IF(G237&gt;社保费用计算表!D14,"回本","亏本")</f>
        <v>回本</v>
      </c>
      <c r="E237" s="3">
        <v>235</v>
      </c>
      <c r="F237" s="31">
        <f>(社保费用计算表!D15*12)*(1+社保费用计算表!G15)^每年金额计算!E237</f>
        <v>2015308.7604526144</v>
      </c>
      <c r="G237" s="22">
        <f>SUM($F$3:F237)</f>
        <v>101801546.78308335</v>
      </c>
    </row>
    <row r="238" spans="1:7" x14ac:dyDescent="0.25">
      <c r="A238" s="3" t="str">
        <f>IF(G238&gt;社保费用计算表!D14,"回本","亏本")</f>
        <v>回本</v>
      </c>
      <c r="E238" s="3">
        <v>236</v>
      </c>
      <c r="F238" s="31">
        <f>(社保费用计算表!D15*12)*(1+社保费用计算表!G15)^每年金额计算!E238</f>
        <v>2055614.935661667</v>
      </c>
      <c r="G238" s="22">
        <f>SUM($F$3:F238)</f>
        <v>103857161.71874502</v>
      </c>
    </row>
    <row r="239" spans="1:7" x14ac:dyDescent="0.25">
      <c r="A239" s="3" t="str">
        <f>IF(G239&gt;社保费用计算表!D14,"回本","亏本")</f>
        <v>回本</v>
      </c>
      <c r="E239" s="3">
        <v>237</v>
      </c>
      <c r="F239" s="31">
        <f>(社保费用计算表!D15*12)*(1+社保费用计算表!G15)^每年金额计算!E239</f>
        <v>2096727.2343749001</v>
      </c>
      <c r="G239" s="22">
        <f>SUM($F$3:F239)</f>
        <v>105953888.95311992</v>
      </c>
    </row>
    <row r="240" spans="1:7" x14ac:dyDescent="0.25">
      <c r="A240" s="3" t="str">
        <f>IF(G240&gt;社保费用计算表!D14,"回本","亏本")</f>
        <v>回本</v>
      </c>
      <c r="E240" s="3">
        <v>238</v>
      </c>
      <c r="F240" s="31">
        <f>(社保费用计算表!D15*12)*(1+社保费用计算表!G15)^每年金额计算!E240</f>
        <v>2138661.7790623982</v>
      </c>
      <c r="G240" s="22">
        <f>SUM($F$3:F240)</f>
        <v>108092550.73218232</v>
      </c>
    </row>
    <row r="241" spans="1:7" x14ac:dyDescent="0.25">
      <c r="A241" s="3" t="str">
        <f>IF(G241&gt;社保费用计算表!D14,"回本","亏本")</f>
        <v>回本</v>
      </c>
      <c r="E241" s="3">
        <v>239</v>
      </c>
      <c r="F241" s="31">
        <f>(社保费用计算表!D15*12)*(1+社保费用计算表!G15)^每年金额计算!E241</f>
        <v>2181435.0146436454</v>
      </c>
      <c r="G241" s="22">
        <f>SUM($F$3:F241)</f>
        <v>110273985.74682596</v>
      </c>
    </row>
    <row r="242" spans="1:7" x14ac:dyDescent="0.25">
      <c r="A242" s="3" t="str">
        <f>IF(G242&gt;社保费用计算表!D14,"回本","亏本")</f>
        <v>回本</v>
      </c>
      <c r="E242" s="3">
        <v>240</v>
      </c>
      <c r="F242" s="31">
        <f>(社保费用计算表!D15*12)*(1+社保费用计算表!G15)^每年金额计算!E242</f>
        <v>2225063.714936519</v>
      </c>
      <c r="G242" s="22">
        <f>SUM($F$3:F242)</f>
        <v>112499049.46176249</v>
      </c>
    </row>
    <row r="243" spans="1:7" x14ac:dyDescent="0.25">
      <c r="A243" s="3" t="str">
        <f>IF(G243&gt;社保费用计算表!D14,"回本","亏本")</f>
        <v>回本</v>
      </c>
      <c r="E243" s="3">
        <v>241</v>
      </c>
      <c r="F243" s="31">
        <f>(社保费用计算表!D15*12)*(1+社保费用计算表!G15)^每年金额计算!E243</f>
        <v>2269564.9892352489</v>
      </c>
      <c r="G243" s="22">
        <f>SUM($F$3:F243)</f>
        <v>114768614.45099774</v>
      </c>
    </row>
    <row r="244" spans="1:7" x14ac:dyDescent="0.25">
      <c r="A244" s="3" t="str">
        <f>IF(G244&gt;社保费用计算表!D14,"回本","亏本")</f>
        <v>回本</v>
      </c>
      <c r="E244" s="3">
        <v>242</v>
      </c>
      <c r="F244" s="31">
        <f>(社保费用计算表!D15*12)*(1+社保费用计算表!G15)^每年金额计算!E244</f>
        <v>2314956.2890199544</v>
      </c>
      <c r="G244" s="22">
        <f>SUM($F$3:F244)</f>
        <v>117083570.7400177</v>
      </c>
    </row>
    <row r="245" spans="1:7" x14ac:dyDescent="0.25">
      <c r="A245" s="3" t="str">
        <f>IF(G245&gt;社保费用计算表!D14,"回本","亏本")</f>
        <v>回本</v>
      </c>
      <c r="E245" s="3">
        <v>243</v>
      </c>
      <c r="F245" s="31">
        <f>(社保费用计算表!D15*12)*(1+社保费用计算表!G15)^每年金额计算!E245</f>
        <v>2361255.4148003529</v>
      </c>
      <c r="G245" s="22">
        <f>SUM($F$3:F245)</f>
        <v>119444826.15481804</v>
      </c>
    </row>
    <row r="246" spans="1:7" x14ac:dyDescent="0.25">
      <c r="A246" s="3" t="str">
        <f>IF(G246&gt;社保费用计算表!D14,"回本","亏本")</f>
        <v>回本</v>
      </c>
      <c r="E246" s="3">
        <v>244</v>
      </c>
      <c r="F246" s="31">
        <f>(社保费用计算表!D15*12)*(1+社保费用计算表!G15)^每年金额计算!E246</f>
        <v>2408480.5230963607</v>
      </c>
      <c r="G246" s="22">
        <f>SUM($F$3:F246)</f>
        <v>121853306.67791441</v>
      </c>
    </row>
    <row r="247" spans="1:7" x14ac:dyDescent="0.25">
      <c r="A247" s="3" t="str">
        <f>IF(G247&gt;社保费用计算表!D14,"回本","亏本")</f>
        <v>回本</v>
      </c>
      <c r="E247" s="3">
        <v>245</v>
      </c>
      <c r="F247" s="31">
        <f>(社保费用计算表!D15*12)*(1+社保费用计算表!G15)^每年金额计算!E247</f>
        <v>2456650.1335582873</v>
      </c>
      <c r="G247" s="22">
        <f>SUM($F$3:F247)</f>
        <v>124309956.8114727</v>
      </c>
    </row>
    <row r="248" spans="1:7" x14ac:dyDescent="0.25">
      <c r="A248" s="3" t="str">
        <f>IF(G248&gt;社保费用计算表!D14,"回本","亏本")</f>
        <v>回本</v>
      </c>
      <c r="E248" s="3">
        <v>246</v>
      </c>
      <c r="F248" s="31">
        <f>(社保费用计算表!D15*12)*(1+社保费用计算表!G15)^每年金额计算!E248</f>
        <v>2505783.1362294531</v>
      </c>
      <c r="G248" s="22">
        <f>SUM($F$3:F248)</f>
        <v>126815739.94770215</v>
      </c>
    </row>
    <row r="249" spans="1:7" x14ac:dyDescent="0.25">
      <c r="A249" s="3" t="str">
        <f>IF(G249&gt;社保费用计算表!D14,"回本","亏本")</f>
        <v>回本</v>
      </c>
      <c r="E249" s="3">
        <v>247</v>
      </c>
      <c r="F249" s="31">
        <f>(社保费用计算表!D15*12)*(1+社保费用计算表!G15)^每年金额计算!E249</f>
        <v>2555898.7989540417</v>
      </c>
      <c r="G249" s="22">
        <f>SUM($F$3:F249)</f>
        <v>129371638.74665619</v>
      </c>
    </row>
    <row r="250" spans="1:7" x14ac:dyDescent="0.25">
      <c r="A250" s="3" t="str">
        <f>IF(G250&gt;社保费用计算表!D14,"回本","亏本")</f>
        <v>回本</v>
      </c>
      <c r="E250" s="3">
        <v>248</v>
      </c>
      <c r="F250" s="31">
        <f>(社保费用计算表!D15*12)*(1+社保费用计算表!G15)^每年金额计算!E250</f>
        <v>2607016.774933123</v>
      </c>
      <c r="G250" s="22">
        <f>SUM($F$3:F250)</f>
        <v>131978655.52158932</v>
      </c>
    </row>
    <row r="251" spans="1:7" x14ac:dyDescent="0.25">
      <c r="A251" s="3" t="str">
        <f>IF(G251&gt;社保费用计算表!D14,"回本","亏本")</f>
        <v>回本</v>
      </c>
      <c r="E251" s="3">
        <v>249</v>
      </c>
      <c r="F251" s="31">
        <f>(社保费用计算表!D15*12)*(1+社保费用计算表!G15)^每年金额计算!E251</f>
        <v>2659157.1104317852</v>
      </c>
      <c r="G251" s="22">
        <f>SUM($F$3:F251)</f>
        <v>134637812.6320211</v>
      </c>
    </row>
    <row r="252" spans="1:7" x14ac:dyDescent="0.25">
      <c r="A252" s="3" t="str">
        <f>IF(G252&gt;社保费用计算表!D14,"回本","亏本")</f>
        <v>回本</v>
      </c>
      <c r="E252" s="3">
        <v>250</v>
      </c>
      <c r="F252" s="31">
        <f>(社保费用计算表!D15*12)*(1+社保费用计算表!G15)^每年金额计算!E252</f>
        <v>2712340.252640421</v>
      </c>
      <c r="G252" s="22">
        <f>SUM($F$3:F252)</f>
        <v>137350152.88466153</v>
      </c>
    </row>
    <row r="253" spans="1:7" x14ac:dyDescent="0.25">
      <c r="A253" s="3" t="str">
        <f>IF(G253&gt;社保费用计算表!D14,"回本","亏本")</f>
        <v>回本</v>
      </c>
      <c r="E253" s="3">
        <v>251</v>
      </c>
      <c r="F253" s="31">
        <f>(社保费用计算表!D15*12)*(1+社保费用计算表!G15)^每年金额计算!E253</f>
        <v>2766587.0576932295</v>
      </c>
      <c r="G253" s="22">
        <f>SUM($F$3:F253)</f>
        <v>140116739.94235477</v>
      </c>
    </row>
    <row r="254" spans="1:7" x14ac:dyDescent="0.25">
      <c r="A254" s="3" t="str">
        <f>IF(G254&gt;社保费用计算表!D14,"回本","亏本")</f>
        <v>回本</v>
      </c>
      <c r="E254" s="3">
        <v>252</v>
      </c>
      <c r="F254" s="31">
        <f>(社保费用计算表!D15*12)*(1+社保费用计算表!G15)^每年金额计算!E254</f>
        <v>2821918.7988470946</v>
      </c>
      <c r="G254" s="22">
        <f>SUM($F$3:F254)</f>
        <v>142938658.74120188</v>
      </c>
    </row>
    <row r="255" spans="1:7" x14ac:dyDescent="0.25">
      <c r="A255" s="3" t="str">
        <f>IF(G255&gt;社保费用计算表!D14,"回本","亏本")</f>
        <v>回本</v>
      </c>
      <c r="E255" s="3">
        <v>253</v>
      </c>
      <c r="F255" s="31">
        <f>(社保费用计算表!D15*12)*(1+社保费用计算表!G15)^每年金额计算!E255</f>
        <v>2878357.1748240362</v>
      </c>
      <c r="G255" s="22">
        <f>SUM($F$3:F255)</f>
        <v>145817015.91602591</v>
      </c>
    </row>
    <row r="256" spans="1:7" x14ac:dyDescent="0.25">
      <c r="A256" s="3" t="str">
        <f>IF(G256&gt;社保费用计算表!D14,"回本","亏本")</f>
        <v>回本</v>
      </c>
      <c r="E256" s="3">
        <v>254</v>
      </c>
      <c r="F256" s="31">
        <f>(社保费用计算表!D15*12)*(1+社保费用计算表!G15)^每年金额计算!E256</f>
        <v>2935924.318320517</v>
      </c>
      <c r="G256" s="22">
        <f>SUM($F$3:F256)</f>
        <v>148752940.23434642</v>
      </c>
    </row>
    <row r="257" spans="1:7" x14ac:dyDescent="0.25">
      <c r="A257" s="3" t="str">
        <f>IF(G257&gt;社保费用计算表!D14,"回本","亏本")</f>
        <v>回本</v>
      </c>
      <c r="E257" s="3">
        <v>255</v>
      </c>
      <c r="F257" s="31">
        <f>(社保费用计算表!D15*12)*(1+社保费用计算表!G15)^每年金额计算!E257</f>
        <v>2994642.8046869268</v>
      </c>
      <c r="G257" s="22">
        <f>SUM($F$3:F257)</f>
        <v>151747583.03903335</v>
      </c>
    </row>
    <row r="258" spans="1:7" x14ac:dyDescent="0.25">
      <c r="A258" s="3" t="str">
        <f>IF(G258&gt;社保费用计算表!D14,"回本","亏本")</f>
        <v>回本</v>
      </c>
      <c r="E258" s="3">
        <v>256</v>
      </c>
      <c r="F258" s="31">
        <f>(社保费用计算表!D15*12)*(1+社保费用计算表!G15)^每年金额计算!E258</f>
        <v>3054535.6607806659</v>
      </c>
      <c r="G258" s="22">
        <f>SUM($F$3:F258)</f>
        <v>154802118.69981402</v>
      </c>
    </row>
    <row r="259" spans="1:7" x14ac:dyDescent="0.25">
      <c r="A259" s="3" t="str">
        <f>IF(G259&gt;社保费用计算表!D14,"回本","亏本")</f>
        <v>回本</v>
      </c>
      <c r="E259" s="3">
        <v>257</v>
      </c>
      <c r="F259" s="31">
        <f>(社保费用计算表!D15*12)*(1+社保费用计算表!G15)^每年金额计算!E259</f>
        <v>3115626.3739962787</v>
      </c>
      <c r="G259" s="22">
        <f>SUM($F$3:F259)</f>
        <v>157917745.07381031</v>
      </c>
    </row>
    <row r="260" spans="1:7" x14ac:dyDescent="0.25">
      <c r="A260" s="3" t="str">
        <f>IF(G260&gt;社保费用计算表!D14,"回本","亏本")</f>
        <v>回本</v>
      </c>
      <c r="E260" s="3">
        <v>258</v>
      </c>
      <c r="F260" s="31">
        <f>(社保费用计算表!D15*12)*(1+社保费用计算表!G15)^每年金额计算!E260</f>
        <v>3177938.9014762044</v>
      </c>
      <c r="G260" s="22">
        <f>SUM($F$3:F260)</f>
        <v>161095683.97528651</v>
      </c>
    </row>
    <row r="261" spans="1:7" x14ac:dyDescent="0.25">
      <c r="A261" s="3" t="str">
        <f>IF(G261&gt;社保费用计算表!D14,"回本","亏本")</f>
        <v>回本</v>
      </c>
      <c r="E261" s="3">
        <v>259</v>
      </c>
      <c r="F261" s="31">
        <f>(社保费用计算表!D15*12)*(1+社保费用计算表!G15)^每年金额计算!E261</f>
        <v>3241497.6795057282</v>
      </c>
      <c r="G261" s="22">
        <f>SUM($F$3:F261)</f>
        <v>164337181.65479225</v>
      </c>
    </row>
    <row r="262" spans="1:7" x14ac:dyDescent="0.25">
      <c r="A262" s="3" t="str">
        <f>IF(G262&gt;社保费用计算表!D14,"回本","亏本")</f>
        <v>回本</v>
      </c>
      <c r="E262" s="3">
        <v>260</v>
      </c>
      <c r="F262" s="31">
        <f>(社保费用计算表!D15*12)*(1+社保费用计算表!G15)^每年金额计算!E262</f>
        <v>3306327.6330958433</v>
      </c>
      <c r="G262" s="22">
        <f>SUM($F$3:F262)</f>
        <v>167643509.28788808</v>
      </c>
    </row>
    <row r="263" spans="1:7" x14ac:dyDescent="0.25">
      <c r="A263" s="3" t="str">
        <f>IF(G263&gt;社保费用计算表!D14,"回本","亏本")</f>
        <v>回本</v>
      </c>
      <c r="E263" s="3">
        <v>261</v>
      </c>
      <c r="F263" s="31">
        <f>(社保费用计算表!D15*12)*(1+社保费用计算表!G15)^每年金额计算!E263</f>
        <v>3372454.1857577604</v>
      </c>
      <c r="G263" s="22">
        <f>SUM($F$3:F263)</f>
        <v>171015963.47364584</v>
      </c>
    </row>
    <row r="264" spans="1:7" x14ac:dyDescent="0.25">
      <c r="A264" s="3" t="str">
        <f>IF(G264&gt;社保费用计算表!D14,"回本","亏本")</f>
        <v>回本</v>
      </c>
      <c r="E264" s="3">
        <v>262</v>
      </c>
      <c r="F264" s="31">
        <f>(社保费用计算表!D15*12)*(1+社保费用计算表!G15)^每年金额计算!E264</f>
        <v>3439903.2694729157</v>
      </c>
      <c r="G264" s="22">
        <f>SUM($F$3:F264)</f>
        <v>174455866.74311876</v>
      </c>
    </row>
    <row r="265" spans="1:7" x14ac:dyDescent="0.25">
      <c r="A265" s="3" t="str">
        <f>IF(G265&gt;社保费用计算表!D14,"回本","亏本")</f>
        <v>回本</v>
      </c>
      <c r="E265" s="3">
        <v>263</v>
      </c>
      <c r="F265" s="31">
        <f>(社保费用计算表!D15*12)*(1+社保费用计算表!G15)^每年金额计算!E265</f>
        <v>3508701.3348623728</v>
      </c>
      <c r="G265" s="22">
        <f>SUM($F$3:F265)</f>
        <v>177964568.07798114</v>
      </c>
    </row>
    <row r="266" spans="1:7" x14ac:dyDescent="0.25">
      <c r="A266" s="3" t="str">
        <f>IF(G266&gt;社保费用计算表!D14,"回本","亏本")</f>
        <v>回本</v>
      </c>
      <c r="E266" s="3">
        <v>264</v>
      </c>
      <c r="F266" s="31">
        <f>(社保费用计算表!D15*12)*(1+社保费用计算表!G15)^每年金额计算!E266</f>
        <v>3578875.3615596211</v>
      </c>
      <c r="G266" s="22">
        <f>SUM($F$3:F266)</f>
        <v>181543443.43954077</v>
      </c>
    </row>
    <row r="267" spans="1:7" x14ac:dyDescent="0.25">
      <c r="A267" s="3" t="str">
        <f>IF(G267&gt;社保费用计算表!D14,"回本","亏本")</f>
        <v>回本</v>
      </c>
      <c r="E267" s="3">
        <v>265</v>
      </c>
      <c r="F267" s="31">
        <f>(社保费用计算表!D15*12)*(1+社保费用计算表!G15)^每年金额计算!E267</f>
        <v>3650452.8687908133</v>
      </c>
      <c r="G267" s="22">
        <f>SUM($F$3:F267)</f>
        <v>185193896.30833158</v>
      </c>
    </row>
    <row r="268" spans="1:7" x14ac:dyDescent="0.25">
      <c r="A268" s="3" t="str">
        <f>IF(G268&gt;社保费用计算表!D14,"回本","亏本")</f>
        <v>回本</v>
      </c>
      <c r="E268" s="3">
        <v>266</v>
      </c>
      <c r="F268" s="31">
        <f>(社保费用计算表!D15*12)*(1+社保费用计算表!G15)^每年金额计算!E268</f>
        <v>3723461.9261666299</v>
      </c>
      <c r="G268" s="22">
        <f>SUM($F$3:F268)</f>
        <v>188917358.2344982</v>
      </c>
    </row>
    <row r="269" spans="1:7" x14ac:dyDescent="0.25">
      <c r="A269" s="3" t="str">
        <f>IF(G269&gt;社保费用计算表!D14,"回本","亏本")</f>
        <v>回本</v>
      </c>
      <c r="E269" s="3">
        <v>267</v>
      </c>
      <c r="F269" s="31">
        <f>(社保费用计算表!D15*12)*(1+社保费用计算表!G15)^每年金额计算!E269</f>
        <v>3797931.1646899618</v>
      </c>
      <c r="G269" s="22">
        <f>SUM($F$3:F269)</f>
        <v>192715289.39918816</v>
      </c>
    </row>
    <row r="270" spans="1:7" x14ac:dyDescent="0.25">
      <c r="A270" s="3" t="str">
        <f>IF(G270&gt;社保费用计算表!D14,"回本","亏本")</f>
        <v>回本</v>
      </c>
      <c r="E270" s="3">
        <v>268</v>
      </c>
      <c r="F270" s="31">
        <f>(社保费用计算表!D15*12)*(1+社保费用计算表!G15)^每年金额计算!E270</f>
        <v>3873889.7879837616</v>
      </c>
      <c r="G270" s="22">
        <f>SUM($F$3:F270)</f>
        <v>196589179.18717194</v>
      </c>
    </row>
    <row r="271" spans="1:7" x14ac:dyDescent="0.25">
      <c r="A271" s="3" t="str">
        <f>IF(G271&gt;社保费用计算表!D14,"回本","亏本")</f>
        <v>回本</v>
      </c>
      <c r="E271" s="3">
        <v>269</v>
      </c>
      <c r="F271" s="31">
        <f>(社保费用计算表!D15*12)*(1+社保费用计算表!G15)^每年金额计算!E271</f>
        <v>3951367.5837434363</v>
      </c>
      <c r="G271" s="22">
        <f>SUM($F$3:F271)</f>
        <v>200540546.77091536</v>
      </c>
    </row>
    <row r="272" spans="1:7" x14ac:dyDescent="0.25">
      <c r="A272" s="3" t="str">
        <f>IF(G272&gt;社保费用计算表!D14,"回本","亏本")</f>
        <v>回本</v>
      </c>
      <c r="E272" s="3">
        <v>270</v>
      </c>
      <c r="F272" s="31">
        <f>(社保费用计算表!D15*12)*(1+社保费用计算表!G15)^每年金额计算!E272</f>
        <v>4030394.9354183059</v>
      </c>
      <c r="G272" s="22">
        <f>SUM($F$3:F272)</f>
        <v>204570941.70633367</v>
      </c>
    </row>
    <row r="273" spans="1:7" x14ac:dyDescent="0.25">
      <c r="A273" s="3" t="str">
        <f>IF(G273&gt;社保费用计算表!D14,"回本","亏本")</f>
        <v>回本</v>
      </c>
      <c r="E273" s="3">
        <v>271</v>
      </c>
      <c r="F273" s="31">
        <f>(社保费用计算表!D15*12)*(1+社保费用计算表!G15)^每年金额计算!E273</f>
        <v>4111002.8341266708</v>
      </c>
      <c r="G273" s="22">
        <f>SUM($F$3:F273)</f>
        <v>208681944.54046035</v>
      </c>
    </row>
    <row r="274" spans="1:7" x14ac:dyDescent="0.25">
      <c r="A274" s="3" t="str">
        <f>IF(G274&gt;社保费用计算表!D14,"回本","亏本")</f>
        <v>回本</v>
      </c>
      <c r="E274" s="3">
        <v>272</v>
      </c>
      <c r="F274" s="31">
        <f>(社保费用计算表!D15*12)*(1+社保费用计算表!G15)^每年金额计算!E274</f>
        <v>4193222.8908092049</v>
      </c>
      <c r="G274" s="22">
        <f>SUM($F$3:F274)</f>
        <v>212875167.43126956</v>
      </c>
    </row>
    <row r="275" spans="1:7" x14ac:dyDescent="0.25">
      <c r="A275" s="3" t="str">
        <f>IF(G275&gt;社保费用计算表!D14,"回本","亏本")</f>
        <v>回本</v>
      </c>
      <c r="E275" s="3">
        <v>273</v>
      </c>
      <c r="F275" s="31">
        <f>(社保费用计算表!D15*12)*(1+社保费用计算表!G15)^每年金额计算!E275</f>
        <v>4277087.3486253889</v>
      </c>
      <c r="G275" s="22">
        <f>SUM($F$3:F275)</f>
        <v>217152254.77989495</v>
      </c>
    </row>
    <row r="276" spans="1:7" x14ac:dyDescent="0.25">
      <c r="A276" s="3" t="str">
        <f>IF(G276&gt;社保费用计算表!D14,"回本","亏本")</f>
        <v>回本</v>
      </c>
      <c r="E276" s="3">
        <v>274</v>
      </c>
      <c r="F276" s="31">
        <f>(社保费用计算表!D15*12)*(1+社保费用计算表!G15)^每年金额计算!E276</f>
        <v>4362629.0955978967</v>
      </c>
      <c r="G276" s="22">
        <f>SUM($F$3:F276)</f>
        <v>221514883.87549284</v>
      </c>
    </row>
    <row r="277" spans="1:7" x14ac:dyDescent="0.25">
      <c r="A277" s="3" t="str">
        <f>IF(G277&gt;社保费用计算表!D14,"回本","亏本")</f>
        <v>回本</v>
      </c>
      <c r="E277" s="3">
        <v>275</v>
      </c>
      <c r="F277" s="31">
        <f>(社保费用计算表!D15*12)*(1+社保费用计算表!G15)^每年金额计算!E277</f>
        <v>4449881.6775098545</v>
      </c>
      <c r="G277" s="22">
        <f>SUM($F$3:F277)</f>
        <v>225964765.55300269</v>
      </c>
    </row>
    <row r="278" spans="1:7" x14ac:dyDescent="0.25">
      <c r="A278" s="3" t="str">
        <f>IF(G278&gt;社保费用计算表!D14,"回本","亏本")</f>
        <v>回本</v>
      </c>
      <c r="E278" s="3">
        <v>276</v>
      </c>
      <c r="F278" s="31">
        <f>(社保费用计算表!D15*12)*(1+社保费用计算表!G15)^每年金额计算!E278</f>
        <v>4538879.3110600514</v>
      </c>
      <c r="G278" s="22">
        <f>SUM($F$3:F278)</f>
        <v>230503644.86406273</v>
      </c>
    </row>
    <row r="279" spans="1:7" x14ac:dyDescent="0.25">
      <c r="A279" s="3" t="str">
        <f>IF(G279&gt;社保费用计算表!D14,"回本","亏本")</f>
        <v>回本</v>
      </c>
      <c r="E279" s="3">
        <v>277</v>
      </c>
      <c r="F279" s="31">
        <f>(社保费用计算表!D15*12)*(1+社保费用计算表!G15)^每年金额计算!E279</f>
        <v>4629656.8972812528</v>
      </c>
      <c r="G279" s="22">
        <f>SUM($F$3:F279)</f>
        <v>235133301.76134399</v>
      </c>
    </row>
    <row r="280" spans="1:7" x14ac:dyDescent="0.25">
      <c r="A280" s="3" t="str">
        <f>IF(G280&gt;社保费用计算表!D14,"回本","亏本")</f>
        <v>回本</v>
      </c>
      <c r="E280" s="3">
        <v>278</v>
      </c>
      <c r="F280" s="31">
        <f>(社保费用计算表!D15*12)*(1+社保费用计算表!G15)^每年金额计算!E280</f>
        <v>4722250.0352268778</v>
      </c>
      <c r="G280" s="22">
        <f>SUM($F$3:F280)</f>
        <v>239855551.79657087</v>
      </c>
    </row>
    <row r="281" spans="1:7" x14ac:dyDescent="0.25">
      <c r="A281" s="3" t="str">
        <f>IF(G281&gt;社保费用计算表!D14,"回本","亏本")</f>
        <v>回本</v>
      </c>
      <c r="E281" s="3">
        <v>279</v>
      </c>
      <c r="F281" s="31">
        <f>(社保费用计算表!D15*12)*(1+社保费用计算表!G15)^每年金额计算!E281</f>
        <v>4816695.0359314149</v>
      </c>
      <c r="G281" s="22">
        <f>SUM($F$3:F281)</f>
        <v>244672246.83250228</v>
      </c>
    </row>
    <row r="282" spans="1:7" x14ac:dyDescent="0.25">
      <c r="A282" s="3" t="str">
        <f>IF(G282&gt;社保费用计算表!D14,"回本","亏本")</f>
        <v>回本</v>
      </c>
      <c r="E282" s="3">
        <v>280</v>
      </c>
      <c r="F282" s="31">
        <f>(社保费用计算表!D15*12)*(1+社保费用计算表!G15)^每年金额计算!E282</f>
        <v>4913028.9366500434</v>
      </c>
      <c r="G282" s="22">
        <f>SUM($F$3:F282)</f>
        <v>249585275.76915231</v>
      </c>
    </row>
    <row r="283" spans="1:7" x14ac:dyDescent="0.25">
      <c r="A283" s="3" t="str">
        <f>IF(G283&gt;社保费用计算表!D14,"回本","亏本")</f>
        <v>回本</v>
      </c>
      <c r="E283" s="3">
        <v>281</v>
      </c>
      <c r="F283" s="31">
        <f>(社保费用计算表!D15*12)*(1+社保费用计算表!G15)^每年金额计算!E283</f>
        <v>5011289.5153830433</v>
      </c>
      <c r="G283" s="22">
        <f>SUM($F$3:F283)</f>
        <v>254596565.28453535</v>
      </c>
    </row>
    <row r="284" spans="1:7" x14ac:dyDescent="0.25">
      <c r="A284" s="3" t="str">
        <f>IF(G284&gt;社保费用计算表!D14,"回本","亏本")</f>
        <v>回本</v>
      </c>
      <c r="E284" s="3">
        <v>282</v>
      </c>
      <c r="F284" s="31">
        <f>(社保费用计算表!D15*12)*(1+社保费用计算表!G15)^每年金额计算!E284</f>
        <v>5111515.3056907048</v>
      </c>
      <c r="G284" s="22">
        <f>SUM($F$3:F284)</f>
        <v>259708080.59022605</v>
      </c>
    </row>
    <row r="285" spans="1:7" x14ac:dyDescent="0.25">
      <c r="A285" s="3" t="str">
        <f>IF(G285&gt;社保费用计算表!D14,"回本","亏本")</f>
        <v>回本</v>
      </c>
      <c r="E285" s="3">
        <v>283</v>
      </c>
      <c r="F285" s="31">
        <f>(社保费用计算表!D15*12)*(1+社保费用计算表!G15)^每年金额计算!E285</f>
        <v>5213745.6118045188</v>
      </c>
      <c r="G285" s="22">
        <f>SUM($F$3:F285)</f>
        <v>264921826.20203057</v>
      </c>
    </row>
    <row r="286" spans="1:7" x14ac:dyDescent="0.25">
      <c r="A286" s="3" t="str">
        <f>IF(G286&gt;社保费用计算表!D14,"回本","亏本")</f>
        <v>回本</v>
      </c>
      <c r="E286" s="3">
        <v>284</v>
      </c>
      <c r="F286" s="31">
        <f>(社保费用计算表!D15*12)*(1+社保费用计算表!G15)^每年金额计算!E286</f>
        <v>5318020.5240406105</v>
      </c>
      <c r="G286" s="22">
        <f>SUM($F$3:F286)</f>
        <v>270239846.72607118</v>
      </c>
    </row>
    <row r="287" spans="1:7" x14ac:dyDescent="0.25">
      <c r="A287" s="3" t="str">
        <f>IF(G287&gt;社保费用计算表!D14,"回本","亏本")</f>
        <v>回本</v>
      </c>
      <c r="E287" s="3">
        <v>285</v>
      </c>
      <c r="F287" s="31">
        <f>(社保费用计算表!D15*12)*(1+社保费用计算表!G15)^每年金额计算!E287</f>
        <v>5424380.9345214218</v>
      </c>
      <c r="G287" s="22">
        <f>SUM($F$3:F287)</f>
        <v>275664227.66059262</v>
      </c>
    </row>
    <row r="288" spans="1:7" x14ac:dyDescent="0.25">
      <c r="A288" s="3" t="str">
        <f>IF(G288&gt;社保费用计算表!D14,"回本","亏本")</f>
        <v>回本</v>
      </c>
      <c r="E288" s="3">
        <v>286</v>
      </c>
      <c r="F288" s="31">
        <f>(社保费用计算表!D15*12)*(1+社保费用计算表!G15)^每年金额计算!E288</f>
        <v>5532868.5532118501</v>
      </c>
      <c r="G288" s="22">
        <f>SUM($F$3:F288)</f>
        <v>281197096.21380448</v>
      </c>
    </row>
    <row r="289" spans="1:7" x14ac:dyDescent="0.25">
      <c r="A289" s="3" t="str">
        <f>IF(G289&gt;社保费用计算表!D14,"回本","亏本")</f>
        <v>回本</v>
      </c>
      <c r="E289" s="3">
        <v>287</v>
      </c>
      <c r="F289" s="31">
        <f>(社保费用计算表!D15*12)*(1+社保费用计算表!G15)^每年金额计算!E289</f>
        <v>5643525.9242760865</v>
      </c>
      <c r="G289" s="22">
        <f>SUM($F$3:F289)</f>
        <v>286840622.1380806</v>
      </c>
    </row>
    <row r="290" spans="1:7" x14ac:dyDescent="0.25">
      <c r="A290" s="3" t="str">
        <f>IF(G290&gt;社保费用计算表!D14,"回本","亏本")</f>
        <v>回本</v>
      </c>
      <c r="E290" s="3">
        <v>288</v>
      </c>
      <c r="F290" s="31">
        <f>(社保费用计算表!D15*12)*(1+社保费用计算表!G15)^每年金额计算!E290</f>
        <v>5756396.4427616084</v>
      </c>
      <c r="G290" s="22">
        <f>SUM($F$3:F290)</f>
        <v>292597018.5808422</v>
      </c>
    </row>
    <row r="291" spans="1:7" x14ac:dyDescent="0.25">
      <c r="A291" s="3" t="str">
        <f>IF(G291&gt;社保费用计算表!D14,"回本","亏本")</f>
        <v>回本</v>
      </c>
      <c r="E291" s="3">
        <v>289</v>
      </c>
      <c r="F291" s="31">
        <f>(社保费用计算表!D15*12)*(1+社保费用计算表!G15)^每年金额计算!E291</f>
        <v>5871524.3716168413</v>
      </c>
      <c r="G291" s="22">
        <f>SUM($F$3:F291)</f>
        <v>298468542.95245904</v>
      </c>
    </row>
    <row r="292" spans="1:7" x14ac:dyDescent="0.25">
      <c r="A292" s="3" t="str">
        <f>IF(G292&gt;社保费用计算表!D14,"回本","亏本")</f>
        <v>回本</v>
      </c>
      <c r="E292" s="3">
        <v>290</v>
      </c>
      <c r="F292" s="31">
        <f>(社保费用计算表!D15*12)*(1+社保费用计算表!G15)^每年金额计算!E292</f>
        <v>5988954.8590491777</v>
      </c>
      <c r="G292" s="22">
        <f>SUM($F$3:F292)</f>
        <v>304457497.81150824</v>
      </c>
    </row>
    <row r="293" spans="1:7" x14ac:dyDescent="0.25">
      <c r="A293" s="3" t="str">
        <f>IF(G293&gt;社保费用计算表!D14,"回本","亏本")</f>
        <v>回本</v>
      </c>
      <c r="E293" s="3">
        <v>291</v>
      </c>
      <c r="F293" s="31">
        <f>(社保费用计算表!D15*12)*(1+社保费用计算表!G15)^每年金额计算!E293</f>
        <v>6108733.9562301608</v>
      </c>
      <c r="G293" s="22">
        <f>SUM($F$3:F293)</f>
        <v>310566231.7677384</v>
      </c>
    </row>
    <row r="294" spans="1:7" x14ac:dyDescent="0.25">
      <c r="A294" s="3" t="str">
        <f>IF(G294&gt;社保费用计算表!D14,"回本","亏本")</f>
        <v>回本</v>
      </c>
      <c r="E294" s="3">
        <v>292</v>
      </c>
      <c r="F294" s="31">
        <f>(社保费用计算表!D15*12)*(1+社保费用计算表!G15)^每年金额计算!E294</f>
        <v>6230908.6353547638</v>
      </c>
      <c r="G294" s="22">
        <f>SUM($F$3:F294)</f>
        <v>316797140.40309316</v>
      </c>
    </row>
    <row r="295" spans="1:7" x14ac:dyDescent="0.25">
      <c r="A295" s="3" t="str">
        <f>IF(G295&gt;社保费用计算表!D14,"回本","亏本")</f>
        <v>回本</v>
      </c>
      <c r="E295" s="3">
        <v>293</v>
      </c>
      <c r="F295" s="31">
        <f>(社保费用计算表!D15*12)*(1+社保费用计算表!G15)^每年金额计算!E295</f>
        <v>6355526.8080618605</v>
      </c>
      <c r="G295" s="22">
        <f>SUM($F$3:F295)</f>
        <v>323152667.211155</v>
      </c>
    </row>
    <row r="296" spans="1:7" x14ac:dyDescent="0.25">
      <c r="A296" s="3" t="str">
        <f>IF(G296&gt;社保费用计算表!D14,"回本","亏本")</f>
        <v>回本</v>
      </c>
      <c r="E296" s="3">
        <v>294</v>
      </c>
      <c r="F296" s="31">
        <f>(社保费用计算表!D15*12)*(1+社保费用计算表!G15)^每年金额计算!E296</f>
        <v>6482637.3442230979</v>
      </c>
      <c r="G296" s="22">
        <f>SUM($F$3:F296)</f>
        <v>329635304.55537808</v>
      </c>
    </row>
    <row r="297" spans="1:7" x14ac:dyDescent="0.25">
      <c r="A297" s="3" t="str">
        <f>IF(G297&gt;社保费用计算表!D14,"回本","亏本")</f>
        <v>回本</v>
      </c>
      <c r="E297" s="3">
        <v>295</v>
      </c>
      <c r="F297" s="31">
        <f>(社保费用计算表!D15*12)*(1+社保费用计算表!G15)^每年金额计算!E297</f>
        <v>6612290.0911075575</v>
      </c>
      <c r="G297" s="22">
        <f>SUM($F$3:F297)</f>
        <v>336247594.64648563</v>
      </c>
    </row>
    <row r="298" spans="1:7" x14ac:dyDescent="0.25">
      <c r="A298" s="3" t="str">
        <f>IF(G298&gt;社保费用计算表!D14,"回本","亏本")</f>
        <v>回本</v>
      </c>
      <c r="E298" s="3">
        <v>296</v>
      </c>
      <c r="F298" s="31">
        <f>(社保费用计算表!D15*12)*(1+社保费用计算表!G15)^每年金额计算!E298</f>
        <v>6744535.8929297104</v>
      </c>
      <c r="G298" s="22">
        <f>SUM($F$3:F298)</f>
        <v>342992130.53941536</v>
      </c>
    </row>
    <row r="299" spans="1:7" x14ac:dyDescent="0.25">
      <c r="A299" s="3" t="str">
        <f>IF(G299&gt;社保费用计算表!D14,"回本","亏本")</f>
        <v>回本</v>
      </c>
      <c r="E299" s="3">
        <v>297</v>
      </c>
      <c r="F299" s="31">
        <f>(社保费用计算表!D15*12)*(1+社保费用计算表!G15)^每年金额计算!E299</f>
        <v>6879426.6107883044</v>
      </c>
      <c r="G299" s="22">
        <f>SUM($F$3:F299)</f>
        <v>349871557.15020365</v>
      </c>
    </row>
    <row r="300" spans="1:7" x14ac:dyDescent="0.25">
      <c r="A300" s="3" t="str">
        <f>IF(G300&gt;社保费用计算表!D14,"回本","亏本")</f>
        <v>回本</v>
      </c>
      <c r="E300" s="3">
        <v>298</v>
      </c>
      <c r="F300" s="31">
        <f>(社保费用计算表!D15*12)*(1+社保费用计算表!G15)^每年金额计算!E300</f>
        <v>7017015.14300407</v>
      </c>
      <c r="G300" s="22">
        <f>SUM($F$3:F300)</f>
        <v>356888572.29320771</v>
      </c>
    </row>
    <row r="301" spans="1:7" x14ac:dyDescent="0.25">
      <c r="A301" s="3" t="str">
        <f>IF(G301&gt;社保费用计算表!D14,"回本","亏本")</f>
        <v>回本</v>
      </c>
      <c r="E301" s="3">
        <v>299</v>
      </c>
      <c r="F301" s="31">
        <f>(社保费用计算表!D15*12)*(1+社保费用计算表!G15)^每年金额计算!E301</f>
        <v>7157355.4458641512</v>
      </c>
      <c r="G301" s="22">
        <f>SUM($F$3:F301)</f>
        <v>364045927.73907185</v>
      </c>
    </row>
    <row r="302" spans="1:7" x14ac:dyDescent="0.25">
      <c r="A302" s="3" t="str">
        <f>IF(G302&gt;社保费用计算表!D14,"回本","亏本")</f>
        <v>回本</v>
      </c>
      <c r="E302" s="3">
        <v>300</v>
      </c>
      <c r="F302" s="31">
        <f>(社保费用计算表!D15*12)*(1+社保费用计算表!G15)^每年金额计算!E302</f>
        <v>7300502.5547814351</v>
      </c>
      <c r="G302" s="22">
        <f>SUM($F$3:F302)</f>
        <v>371346430.29385328</v>
      </c>
    </row>
    <row r="303" spans="1:7" x14ac:dyDescent="0.25">
      <c r="A303" s="3" t="str">
        <f>IF(G303&gt;社保费用计算表!D14,"回本","亏本")</f>
        <v>回本</v>
      </c>
      <c r="E303" s="3">
        <v>301</v>
      </c>
      <c r="F303" s="31">
        <f>(社保费用计算表!D15*12)*(1+社保费用计算表!G15)^每年金额计算!E303</f>
        <v>7446512.6058770642</v>
      </c>
      <c r="G303" s="22">
        <f>SUM($F$3:F303)</f>
        <v>378792942.89973032</v>
      </c>
    </row>
    <row r="304" spans="1:7" x14ac:dyDescent="0.25">
      <c r="A304" s="3" t="str">
        <f>IF(G304&gt;社保费用计算表!D14,"回本","亏本")</f>
        <v>回本</v>
      </c>
      <c r="E304" s="3">
        <v>302</v>
      </c>
      <c r="F304" s="31">
        <f>(社保费用计算表!D15*12)*(1+社保费用计算表!G15)^每年金额计算!E304</f>
        <v>7595442.8579946049</v>
      </c>
      <c r="G304" s="22">
        <f>SUM($F$3:F304)</f>
        <v>386388385.75772494</v>
      </c>
    </row>
    <row r="305" spans="1:7" x14ac:dyDescent="0.25">
      <c r="A305" s="3" t="str">
        <f>IF(G305&gt;社保费用计算表!D14,"回本","亏本")</f>
        <v>回本</v>
      </c>
      <c r="E305" s="3">
        <v>303</v>
      </c>
      <c r="F305" s="31">
        <f>(社保费用计算表!D15*12)*(1+社保费用计算表!G15)^每年金额计算!E305</f>
        <v>7747351.7151544951</v>
      </c>
      <c r="G305" s="22">
        <f>SUM($F$3:F305)</f>
        <v>394135737.47287941</v>
      </c>
    </row>
    <row r="306" spans="1:7" x14ac:dyDescent="0.25">
      <c r="A306" s="3" t="str">
        <f>IF(G306&gt;社保费用计算表!D14,"回本","亏本")</f>
        <v>回本</v>
      </c>
      <c r="E306" s="3">
        <v>304</v>
      </c>
      <c r="F306" s="31">
        <f>(社保费用计算表!D15*12)*(1+社保费用计算表!G15)^每年金额计算!E306</f>
        <v>7902298.7494575866</v>
      </c>
      <c r="G306" s="22">
        <f>SUM($F$3:F306)</f>
        <v>402038036.22233701</v>
      </c>
    </row>
    <row r="307" spans="1:7" x14ac:dyDescent="0.25">
      <c r="A307" s="3" t="str">
        <f>IF(G307&gt;社保费用计算表!D14,"回本","亏本")</f>
        <v>回本</v>
      </c>
      <c r="E307" s="3">
        <v>305</v>
      </c>
      <c r="F307" s="31">
        <f>(社保费用计算表!D15*12)*(1+社保费用计算表!G15)^每年金额计算!E307</f>
        <v>8060344.7244467381</v>
      </c>
      <c r="G307" s="22">
        <f>SUM($F$3:F307)</f>
        <v>410098380.94678372</v>
      </c>
    </row>
    <row r="308" spans="1:7" x14ac:dyDescent="0.25">
      <c r="A308" s="3" t="str">
        <f>IF(G308&gt;社保费用计算表!D14,"回本","亏本")</f>
        <v>回本</v>
      </c>
      <c r="E308" s="3">
        <v>306</v>
      </c>
      <c r="F308" s="31">
        <f>(社保费用计算表!D15*12)*(1+社保费用计算表!G15)^每年金额计算!E308</f>
        <v>8221551.6189356726</v>
      </c>
      <c r="G308" s="22">
        <f>SUM($F$3:F308)</f>
        <v>418319932.56571937</v>
      </c>
    </row>
    <row r="309" spans="1:7" x14ac:dyDescent="0.25">
      <c r="A309" s="3" t="str">
        <f>IF(G309&gt;社保费用计算表!D14,"回本","亏本")</f>
        <v>回本</v>
      </c>
      <c r="E309" s="3">
        <v>307</v>
      </c>
      <c r="F309" s="31">
        <f>(社保费用计算表!D15*12)*(1+社保费用计算表!G15)^每年金额计算!E309</f>
        <v>8385982.6513143862</v>
      </c>
      <c r="G309" s="22">
        <f>SUM($F$3:F309)</f>
        <v>426705915.21703374</v>
      </c>
    </row>
    <row r="310" spans="1:7" x14ac:dyDescent="0.25">
      <c r="A310" s="3" t="str">
        <f>IF(G310&gt;社保费用计算表!D14,"回本","亏本")</f>
        <v>回本</v>
      </c>
      <c r="E310" s="3">
        <v>308</v>
      </c>
      <c r="F310" s="31">
        <f>(社保费用计算表!D15*12)*(1+社保费用计算表!G15)^每年金额计算!E310</f>
        <v>8553702.3043406736</v>
      </c>
      <c r="G310" s="22">
        <f>SUM($F$3:F310)</f>
        <v>435259617.5213744</v>
      </c>
    </row>
    <row r="311" spans="1:7" x14ac:dyDescent="0.25">
      <c r="A311" s="3" t="str">
        <f>IF(G311&gt;社保费用计算表!D14,"回本","亏本")</f>
        <v>回本</v>
      </c>
      <c r="E311" s="3">
        <v>309</v>
      </c>
      <c r="F311" s="31">
        <f>(社保费用计算表!D15*12)*(1+社保费用计算表!G15)^每年金额计算!E311</f>
        <v>8724776.350427486</v>
      </c>
      <c r="G311" s="22">
        <f>SUM($F$3:F311)</f>
        <v>443984393.87180191</v>
      </c>
    </row>
    <row r="312" spans="1:7" x14ac:dyDescent="0.25">
      <c r="A312" s="3" t="str">
        <f>IF(G312&gt;社保费用计算表!D14,"回本","亏本")</f>
        <v>回本</v>
      </c>
      <c r="E312" s="3">
        <v>310</v>
      </c>
      <c r="F312" s="31">
        <f>(社保费用计算表!D15*12)*(1+社保费用计算表!G15)^每年金额计算!E312</f>
        <v>8899271.8774360381</v>
      </c>
      <c r="G312" s="22">
        <f>SUM($F$3:F312)</f>
        <v>452883665.74923795</v>
      </c>
    </row>
    <row r="313" spans="1:7" x14ac:dyDescent="0.25">
      <c r="A313" s="3" t="str">
        <f>IF(G313&gt;社保费用计算表!D14,"回本","亏本")</f>
        <v>回本</v>
      </c>
      <c r="E313" s="3">
        <v>311</v>
      </c>
      <c r="F313" s="31">
        <f>(社保费用计算表!D15*12)*(1+社保费用计算表!G15)^每年金额计算!E313</f>
        <v>9077257.3149847556</v>
      </c>
      <c r="G313" s="22">
        <f>SUM($F$3:F313)</f>
        <v>461960923.06422269</v>
      </c>
    </row>
    <row r="314" spans="1:7" x14ac:dyDescent="0.25">
      <c r="A314" s="3" t="str">
        <f>IF(G314&gt;社保费用计算表!D14,"回本","亏本")</f>
        <v>回本</v>
      </c>
      <c r="E314" s="3">
        <v>312</v>
      </c>
      <c r="F314" s="31">
        <f>(社保费用计算表!D15*12)*(1+社保费用计算表!G15)^每年金额计算!E314</f>
        <v>9258802.4612844512</v>
      </c>
      <c r="G314" s="22">
        <f>SUM($F$3:F314)</f>
        <v>471219725.52550715</v>
      </c>
    </row>
    <row r="315" spans="1:7" x14ac:dyDescent="0.25">
      <c r="A315" s="3" t="str">
        <f>IF(G315&gt;社保费用计算表!D14,"回本","亏本")</f>
        <v>回本</v>
      </c>
      <c r="E315" s="3">
        <v>313</v>
      </c>
      <c r="F315" s="31">
        <f>(社保费用计算表!D15*12)*(1+社保费用计算表!G15)^每年金额计算!E315</f>
        <v>9443978.510510141</v>
      </c>
      <c r="G315" s="22">
        <f>SUM($F$3:F315)</f>
        <v>480663704.0360173</v>
      </c>
    </row>
    <row r="316" spans="1:7" x14ac:dyDescent="0.25">
      <c r="A316" s="3" t="str">
        <f>IF(G316&gt;社保费用计算表!D14,"回本","亏本")</f>
        <v>回本</v>
      </c>
      <c r="E316" s="3">
        <v>314</v>
      </c>
      <c r="F316" s="31">
        <f>(社保费用计算表!D15*12)*(1+社保费用计算表!G15)^每年金额计算!E316</f>
        <v>9632858.0807203446</v>
      </c>
      <c r="G316" s="22">
        <f>SUM($F$3:F316)</f>
        <v>490296562.11673766</v>
      </c>
    </row>
    <row r="317" spans="1:7" x14ac:dyDescent="0.25">
      <c r="A317" s="3" t="str">
        <f>IF(G317&gt;社保费用计算表!D14,"回本","亏本")</f>
        <v>回本</v>
      </c>
      <c r="E317" s="3">
        <v>315</v>
      </c>
      <c r="F317" s="31">
        <f>(社保费用计算表!D15*12)*(1+社保费用计算表!G15)^每年金额计算!E317</f>
        <v>9825515.2423347495</v>
      </c>
      <c r="G317" s="22">
        <f>SUM($F$3:F317)</f>
        <v>500122077.35907239</v>
      </c>
    </row>
    <row r="318" spans="1:7" x14ac:dyDescent="0.25">
      <c r="A318" s="3" t="str">
        <f>IF(G318&gt;社保费用计算表!D14,"回本","亏本")</f>
        <v>回本</v>
      </c>
      <c r="E318" s="3">
        <v>316</v>
      </c>
      <c r="F318" s="31">
        <f>(社保费用计算表!D15*12)*(1+社保费用计算表!G15)^每年金额计算!E318</f>
        <v>10022025.547181446</v>
      </c>
      <c r="G318" s="22">
        <f>SUM($F$3:F318)</f>
        <v>510144102.90625381</v>
      </c>
    </row>
    <row r="319" spans="1:7" x14ac:dyDescent="0.25">
      <c r="A319" s="3" t="str">
        <f>IF(G319&gt;社保费用计算表!D14,"回本","亏本")</f>
        <v>回本</v>
      </c>
      <c r="E319" s="3">
        <v>317</v>
      </c>
      <c r="F319" s="31">
        <f>(社保费用计算表!D15*12)*(1+社保费用计算表!G15)^每年金额计算!E319</f>
        <v>10222466.058125075</v>
      </c>
      <c r="G319" s="22">
        <f>SUM($F$3:F319)</f>
        <v>520366568.96437889</v>
      </c>
    </row>
    <row r="320" spans="1:7" x14ac:dyDescent="0.25">
      <c r="A320" s="3" t="str">
        <f>IF(G320&gt;社保费用计算表!D14,"回本","亏本")</f>
        <v>回本</v>
      </c>
      <c r="E320" s="3">
        <v>318</v>
      </c>
      <c r="F320" s="31">
        <f>(社保费用计算表!D15*12)*(1+社保费用计算表!G15)^每年金额计算!E320</f>
        <v>10426915.379287576</v>
      </c>
      <c r="G320" s="22">
        <f>SUM($F$3:F320)</f>
        <v>530793484.34366649</v>
      </c>
    </row>
    <row r="321" spans="1:7" x14ac:dyDescent="0.25">
      <c r="A321" s="3" t="str">
        <f>IF(G321&gt;社保费用计算表!D14,"回本","亏本")</f>
        <v>回本</v>
      </c>
      <c r="E321" s="3">
        <v>319</v>
      </c>
      <c r="F321" s="31">
        <f>(社保费用计算表!D15*12)*(1+社保费用计算表!G15)^每年金额计算!E321</f>
        <v>10635453.686873326</v>
      </c>
      <c r="G321" s="22">
        <f>SUM($F$3:F321)</f>
        <v>541428938.03053987</v>
      </c>
    </row>
    <row r="322" spans="1:7" x14ac:dyDescent="0.25">
      <c r="A322" s="3" t="str">
        <f>IF(G322&gt;社保费用计算表!D14,"回本","亏本")</f>
        <v>回本</v>
      </c>
      <c r="E322" s="3">
        <v>320</v>
      </c>
      <c r="F322" s="31">
        <f>(社保费用计算表!D15*12)*(1+社保费用计算表!G15)^每年金额计算!E322</f>
        <v>10848162.760610795</v>
      </c>
      <c r="G322" s="22">
        <f>SUM($F$3:F322)</f>
        <v>552277100.79115069</v>
      </c>
    </row>
    <row r="323" spans="1:7" x14ac:dyDescent="0.25">
      <c r="A323" s="3" t="str">
        <f>IF(G323&gt;社保费用计算表!D14,"回本","亏本")</f>
        <v>回本</v>
      </c>
      <c r="E323" s="3">
        <v>321</v>
      </c>
      <c r="F323" s="31">
        <f>(社保费用计算表!D15*12)*(1+社保费用计算表!G15)^每年金额计算!E323</f>
        <v>11065126.015823012</v>
      </c>
      <c r="G323" s="22">
        <f>SUM($F$3:F323)</f>
        <v>563342226.8069737</v>
      </c>
    </row>
    <row r="324" spans="1:7" x14ac:dyDescent="0.25">
      <c r="A324" s="3" t="str">
        <f>IF(G324&gt;社保费用计算表!D14,"回本","亏本")</f>
        <v>回本</v>
      </c>
      <c r="E324" s="3">
        <v>322</v>
      </c>
      <c r="F324" s="31">
        <f>(社保费用计算表!D15*12)*(1+社保费用计算表!G15)^每年金额计算!E324</f>
        <v>11286428.53613947</v>
      </c>
      <c r="G324" s="22">
        <f>SUM($F$3:F324)</f>
        <v>574628655.34311318</v>
      </c>
    </row>
    <row r="325" spans="1:7" x14ac:dyDescent="0.25">
      <c r="A325" s="3" t="str">
        <f>IF(G325&gt;社保费用计算表!D14,"回本","亏本")</f>
        <v>回本</v>
      </c>
      <c r="E325" s="3">
        <v>323</v>
      </c>
      <c r="F325" s="31">
        <f>(社保费用计算表!D15*12)*(1+社保费用计算表!G15)^每年金额计算!E325</f>
        <v>11512157.10686226</v>
      </c>
      <c r="G325" s="22">
        <f>SUM($F$3:F325)</f>
        <v>586140812.44997549</v>
      </c>
    </row>
    <row r="326" spans="1:7" x14ac:dyDescent="0.25">
      <c r="A326" s="3" t="str">
        <f>IF(G326&gt;社保费用计算表!D14,"回本","亏本")</f>
        <v>回本</v>
      </c>
      <c r="E326" s="3">
        <v>324</v>
      </c>
      <c r="F326" s="31">
        <f>(社保费用计算表!D15*12)*(1+社保费用计算表!G15)^每年金额计算!E326</f>
        <v>11742400.248999504</v>
      </c>
      <c r="G326" s="22">
        <f>SUM($F$3:F326)</f>
        <v>597883212.69897497</v>
      </c>
    </row>
    <row r="327" spans="1:7" x14ac:dyDescent="0.25">
      <c r="A327" s="3" t="str">
        <f>IF(G327&gt;社保费用计算表!D14,"回本","亏本")</f>
        <v>回本</v>
      </c>
      <c r="E327" s="3">
        <v>325</v>
      </c>
      <c r="F327" s="31">
        <f>(社保费用计算表!D15*12)*(1+社保费用计算表!G15)^每年金额计算!E327</f>
        <v>11977248.253979495</v>
      </c>
      <c r="G327" s="22">
        <f>SUM($F$3:F327)</f>
        <v>609860460.95295441</v>
      </c>
    </row>
    <row r="328" spans="1:7" x14ac:dyDescent="0.25">
      <c r="A328" s="3" t="str">
        <f>IF(G328&gt;社保费用计算表!D14,"回本","亏本")</f>
        <v>回本</v>
      </c>
      <c r="E328" s="3">
        <v>326</v>
      </c>
      <c r="F328" s="31">
        <f>(社保费用计算表!D15*12)*(1+社保费用计算表!G15)^每年金额计算!E328</f>
        <v>12216793.219059085</v>
      </c>
      <c r="G328" s="22">
        <f>SUM($F$3:F328)</f>
        <v>622077254.17201352</v>
      </c>
    </row>
    <row r="329" spans="1:7" x14ac:dyDescent="0.25">
      <c r="A329" s="3" t="str">
        <f>IF(G329&gt;社保费用计算表!D14,"回本","亏本")</f>
        <v>回本</v>
      </c>
      <c r="E329" s="3">
        <v>327</v>
      </c>
      <c r="F329" s="31">
        <f>(社保费用计算表!D15*12)*(1+社保费用计算表!G15)^每年金额计算!E329</f>
        <v>12461129.083440267</v>
      </c>
      <c r="G329" s="22">
        <f>SUM($F$3:F329)</f>
        <v>634538383.25545382</v>
      </c>
    </row>
    <row r="330" spans="1:7" x14ac:dyDescent="0.25">
      <c r="A330" s="3" t="str">
        <f>IF(G330&gt;社保费用计算表!D14,"回本","亏本")</f>
        <v>回本</v>
      </c>
      <c r="E330" s="3">
        <v>328</v>
      </c>
      <c r="F330" s="31">
        <f>(社保费用计算表!D15*12)*(1+社保费用计算表!G15)^每年金额计算!E330</f>
        <v>12710351.665109074</v>
      </c>
      <c r="G330" s="22">
        <f>SUM($F$3:F330)</f>
        <v>647248734.92056286</v>
      </c>
    </row>
    <row r="331" spans="1:7" x14ac:dyDescent="0.25">
      <c r="A331" s="3" t="str">
        <f>IF(G331&gt;社保费用计算表!D14,"回本","亏本")</f>
        <v>回本</v>
      </c>
      <c r="E331" s="3">
        <v>329</v>
      </c>
      <c r="F331" s="31">
        <f>(社保费用计算表!D15*12)*(1+社保费用计算表!G15)^每年金额计算!E331</f>
        <v>12964558.698411252</v>
      </c>
      <c r="G331" s="22">
        <f>SUM($F$3:F331)</f>
        <v>660213293.61897409</v>
      </c>
    </row>
    <row r="332" spans="1:7" x14ac:dyDescent="0.25">
      <c r="A332" s="3" t="str">
        <f>IF(G332&gt;社保费用计算表!D14,"回本","亏本")</f>
        <v>回本</v>
      </c>
      <c r="E332" s="3">
        <v>330</v>
      </c>
      <c r="F332" s="31">
        <f>(社保费用计算表!D15*12)*(1+社保费用计算表!G15)^每年金额计算!E332</f>
        <v>13223849.87237948</v>
      </c>
      <c r="G332" s="22">
        <f>SUM($F$3:F332)</f>
        <v>673437143.49135351</v>
      </c>
    </row>
    <row r="333" spans="1:7" x14ac:dyDescent="0.25">
      <c r="A333" s="3" t="str">
        <f>IF(G333&gt;社保费用计算表!D14,"回本","亏本")</f>
        <v>回本</v>
      </c>
      <c r="E333" s="3">
        <v>331</v>
      </c>
      <c r="F333" s="31">
        <f>(社保费用计算表!D15*12)*(1+社保费用计算表!G15)^每年金额计算!E333</f>
        <v>13488326.869827066</v>
      </c>
      <c r="G333" s="22">
        <f>SUM($F$3:F333)</f>
        <v>686925470.36118054</v>
      </c>
    </row>
    <row r="334" spans="1:7" x14ac:dyDescent="0.25">
      <c r="A334" s="3" t="str">
        <f>IF(G334&gt;社保费用计算表!D14,"回本","亏本")</f>
        <v>回本</v>
      </c>
      <c r="E334" s="3">
        <v>332</v>
      </c>
      <c r="F334" s="31">
        <f>(社保费用计算表!D15*12)*(1+社保费用计算表!G15)^每年金额计算!E334</f>
        <v>13758093.40722361</v>
      </c>
      <c r="G334" s="22">
        <f>SUM($F$3:F334)</f>
        <v>700683563.76840413</v>
      </c>
    </row>
    <row r="335" spans="1:7" x14ac:dyDescent="0.25">
      <c r="A335" s="3" t="str">
        <f>IF(G335&gt;社保费用计算表!D14,"回本","亏本")</f>
        <v>回本</v>
      </c>
      <c r="E335" s="3">
        <v>333</v>
      </c>
      <c r="F335" s="31">
        <f>(社保费用计算表!D15*12)*(1+社保费用计算表!G15)^每年金额计算!E335</f>
        <v>14033255.275368081</v>
      </c>
      <c r="G335" s="22">
        <f>SUM($F$3:F335)</f>
        <v>714716819.04377222</v>
      </c>
    </row>
    <row r="336" spans="1:7" x14ac:dyDescent="0.25">
      <c r="A336" s="3" t="str">
        <f>IF(G336&gt;社保费用计算表!D14,"回本","亏本")</f>
        <v>回本</v>
      </c>
      <c r="E336" s="3">
        <v>334</v>
      </c>
      <c r="F336" s="31">
        <f>(社保费用计算表!D15*12)*(1+社保费用计算表!G15)^每年金额计算!E336</f>
        <v>14313920.380875444</v>
      </c>
      <c r="G336" s="22">
        <f>SUM($F$3:F336)</f>
        <v>729030739.42464769</v>
      </c>
    </row>
    <row r="337" spans="1:7" x14ac:dyDescent="0.25">
      <c r="A337" s="3" t="str">
        <f>IF(G337&gt;社保费用计算表!D14,"回本","亏本")</f>
        <v>回本</v>
      </c>
      <c r="E337" s="3">
        <v>335</v>
      </c>
      <c r="F337" s="31">
        <f>(社保费用计算表!D15*12)*(1+社保费用计算表!G15)^每年金额计算!E337</f>
        <v>14600198.788492948</v>
      </c>
      <c r="G337" s="22">
        <f>SUM($F$3:F337)</f>
        <v>743630938.21314061</v>
      </c>
    </row>
    <row r="338" spans="1:7" x14ac:dyDescent="0.25">
      <c r="A338" s="3" t="str">
        <f>IF(G338&gt;社保费用计算表!D14,"回本","亏本")</f>
        <v>回本</v>
      </c>
      <c r="E338" s="3">
        <v>336</v>
      </c>
      <c r="F338" s="31">
        <f>(社保费用计算表!D15*12)*(1+社保费用计算表!G15)^每年金额计算!E338</f>
        <v>14892202.76426281</v>
      </c>
      <c r="G338" s="22">
        <f>SUM($F$3:F338)</f>
        <v>758523140.9774034</v>
      </c>
    </row>
    <row r="339" spans="1:7" x14ac:dyDescent="0.25">
      <c r="A339" s="3" t="str">
        <f>IF(G339&gt;社保费用计算表!D14,"回本","亏本")</f>
        <v>回本</v>
      </c>
      <c r="E339" s="3">
        <v>337</v>
      </c>
      <c r="F339" s="31">
        <f>(社保费用计算表!D15*12)*(1+社保费用计算表!G15)^每年金额计算!E339</f>
        <v>15190046.819548067</v>
      </c>
      <c r="G339" s="22">
        <f>SUM($F$3:F339)</f>
        <v>773713187.79695141</v>
      </c>
    </row>
    <row r="340" spans="1:7" x14ac:dyDescent="0.25">
      <c r="A340" s="3" t="str">
        <f>IF(G340&gt;社保费用计算表!D14,"回本","亏本")</f>
        <v>回本</v>
      </c>
      <c r="E340" s="3">
        <v>338</v>
      </c>
      <c r="F340" s="31">
        <f>(社保费用计算表!D15*12)*(1+社保费用计算表!G15)^每年金额计算!E340</f>
        <v>15493847.755939027</v>
      </c>
      <c r="G340" s="22">
        <f>SUM($F$3:F340)</f>
        <v>789207035.55289042</v>
      </c>
    </row>
    <row r="341" spans="1:7" x14ac:dyDescent="0.25">
      <c r="A341" s="3" t="str">
        <f>IF(G341&gt;社保费用计算表!D14,"回本","亏本")</f>
        <v>回本</v>
      </c>
      <c r="E341" s="3">
        <v>339</v>
      </c>
      <c r="F341" s="31">
        <f>(社保费用计算表!D15*12)*(1+社保费用计算表!G15)^每年金额计算!E341</f>
        <v>15803724.711057808</v>
      </c>
      <c r="G341" s="22">
        <f>SUM($F$3:F341)</f>
        <v>805010760.2639482</v>
      </c>
    </row>
    <row r="342" spans="1:7" x14ac:dyDescent="0.25">
      <c r="A342" s="3" t="str">
        <f>IF(G342&gt;社保费用计算表!D14,"回本","亏本")</f>
        <v>回本</v>
      </c>
      <c r="E342" s="3">
        <v>340</v>
      </c>
      <c r="F342" s="31">
        <f>(社保费用计算表!D15*12)*(1+社保费用计算表!G15)^每年金额计算!E342</f>
        <v>16119799.205278963</v>
      </c>
      <c r="G342" s="22">
        <f>SUM($F$3:F342)</f>
        <v>821130559.46922719</v>
      </c>
    </row>
    <row r="343" spans="1:7" x14ac:dyDescent="0.25">
      <c r="A343" s="3" t="str">
        <f>IF(G343&gt;社保费用计算表!D14,"回本","亏本")</f>
        <v>回本</v>
      </c>
      <c r="E343" s="3">
        <v>341</v>
      </c>
      <c r="F343" s="31">
        <f>(社保费用计算表!D15*12)*(1+社保费用计算表!G15)^每年金额计算!E343</f>
        <v>16442195.189384544</v>
      </c>
      <c r="G343" s="22">
        <f>SUM($F$3:F343)</f>
        <v>837572754.65861177</v>
      </c>
    </row>
    <row r="344" spans="1:7" x14ac:dyDescent="0.25">
      <c r="A344" s="3" t="str">
        <f>IF(G344&gt;社保费用计算表!D14,"回本","亏本")</f>
        <v>回本</v>
      </c>
      <c r="E344" s="3">
        <v>342</v>
      </c>
      <c r="F344" s="31">
        <f>(社保费用计算表!D15*12)*(1+社保费用计算表!G15)^每年金额计算!E344</f>
        <v>16771039.093172235</v>
      </c>
      <c r="G344" s="22">
        <f>SUM($F$3:F344)</f>
        <v>854343793.75178397</v>
      </c>
    </row>
    <row r="345" spans="1:7" x14ac:dyDescent="0.25">
      <c r="A345" s="3" t="str">
        <f>IF(G345&gt;社保费用计算表!D14,"回本","亏本")</f>
        <v>回本</v>
      </c>
      <c r="E345" s="3">
        <v>343</v>
      </c>
      <c r="F345" s="31">
        <f>(社保费用计算表!D15*12)*(1+社保费用计算表!G15)^每年金额计算!E345</f>
        <v>17106459.875035673</v>
      </c>
      <c r="G345" s="22">
        <f>SUM($F$3:F345)</f>
        <v>871450253.62681961</v>
      </c>
    </row>
    <row r="346" spans="1:7" x14ac:dyDescent="0.25">
      <c r="A346" s="3" t="str">
        <f>IF(G346&gt;社保费用计算表!D14,"回本","亏本")</f>
        <v>回本</v>
      </c>
      <c r="E346" s="3">
        <v>344</v>
      </c>
      <c r="F346" s="31">
        <f>(社保费用计算表!D15*12)*(1+社保费用计算表!G15)^每年金额计算!E346</f>
        <v>17448589.07253639</v>
      </c>
      <c r="G346" s="22">
        <f>SUM($F$3:F346)</f>
        <v>888898842.69935596</v>
      </c>
    </row>
    <row r="347" spans="1:7" x14ac:dyDescent="0.25">
      <c r="A347" s="3" t="str">
        <f>IF(G347&gt;社保费用计算表!D14,"回本","亏本")</f>
        <v>回本</v>
      </c>
      <c r="E347" s="3">
        <v>345</v>
      </c>
      <c r="F347" s="31">
        <f>(社保费用计算表!D15*12)*(1+社保费用计算表!G15)^每年金额计算!E347</f>
        <v>17797560.85398712</v>
      </c>
      <c r="G347" s="22">
        <f>SUM($F$3:F347)</f>
        <v>906696403.55334306</v>
      </c>
    </row>
    <row r="348" spans="1:7" x14ac:dyDescent="0.25">
      <c r="A348" s="3" t="str">
        <f>IF(G348&gt;社保费用计算表!D14,"回本","亏本")</f>
        <v>回本</v>
      </c>
      <c r="E348" s="3">
        <v>346</v>
      </c>
      <c r="F348" s="31">
        <f>(社保费用计算表!D15*12)*(1+社保费用计算表!G15)^每年金额计算!E348</f>
        <v>18153512.071066864</v>
      </c>
      <c r="G348" s="22">
        <f>SUM($F$3:F348)</f>
        <v>924849915.62440991</v>
      </c>
    </row>
    <row r="349" spans="1:7" x14ac:dyDescent="0.25">
      <c r="A349" s="3" t="str">
        <f>IF(G349&gt;社保费用计算表!D14,"回本","亏本")</f>
        <v>回本</v>
      </c>
      <c r="E349" s="3">
        <v>347</v>
      </c>
      <c r="F349" s="31">
        <f>(社保费用计算表!D15*12)*(1+社保费用计算表!G15)^每年金额计算!E349</f>
        <v>18516582.312488198</v>
      </c>
      <c r="G349" s="22">
        <f>SUM($F$3:F349)</f>
        <v>943366497.93689811</v>
      </c>
    </row>
    <row r="350" spans="1:7" x14ac:dyDescent="0.25">
      <c r="A350" s="3" t="str">
        <f>IF(G350&gt;社保费用计算表!D14,"回本","亏本")</f>
        <v>回本</v>
      </c>
      <c r="E350" s="3">
        <v>348</v>
      </c>
      <c r="F350" s="31">
        <f>(社保费用计算表!D15*12)*(1+社保费用计算表!G15)^每年金额计算!E350</f>
        <v>18886913.958737966</v>
      </c>
      <c r="G350" s="22">
        <f>SUM($F$3:F350)</f>
        <v>962253411.89563608</v>
      </c>
    </row>
    <row r="351" spans="1:7" x14ac:dyDescent="0.25">
      <c r="A351" s="3" t="str">
        <f>IF(G351&gt;社保费用计算表!D14,"回本","亏本")</f>
        <v>回本</v>
      </c>
      <c r="E351" s="3">
        <v>349</v>
      </c>
      <c r="F351" s="31">
        <f>(社保费用计算表!D15*12)*(1+社保费用计算表!G15)^每年金额计算!E351</f>
        <v>19264652.237912722</v>
      </c>
      <c r="G351" s="22">
        <f>SUM($F$3:F351)</f>
        <v>981518064.13354886</v>
      </c>
    </row>
    <row r="352" spans="1:7" x14ac:dyDescent="0.25">
      <c r="A352" s="3" t="str">
        <f>IF(G352&gt;社保费用计算表!D14,"回本","亏本")</f>
        <v>回本</v>
      </c>
      <c r="E352" s="3">
        <v>350</v>
      </c>
      <c r="F352" s="31">
        <f>(社保费用计算表!D15*12)*(1+社保费用计算表!G15)^每年金额计算!E352</f>
        <v>19649945.282670978</v>
      </c>
      <c r="G352" s="22">
        <f>SUM($F$3:F352)</f>
        <v>1001168009.4162198</v>
      </c>
    </row>
    <row r="353" spans="1:7" x14ac:dyDescent="0.25">
      <c r="A353" s="3" t="str">
        <f>IF(G353&gt;社保费用计算表!D14,"回本","亏本")</f>
        <v>回本</v>
      </c>
      <c r="E353" s="3">
        <v>351</v>
      </c>
      <c r="F353" s="31">
        <f>(社保费用计算表!D15*12)*(1+社保费用计算表!G15)^每年金额计算!E353</f>
        <v>20042944.188324392</v>
      </c>
      <c r="G353" s="22">
        <f>SUM($F$3:F353)</f>
        <v>1021210953.6045442</v>
      </c>
    </row>
    <row r="354" spans="1:7" x14ac:dyDescent="0.25">
      <c r="A354" s="3" t="str">
        <f>IF(G354&gt;社保费用计算表!D14,"回本","亏本")</f>
        <v>回本</v>
      </c>
      <c r="E354" s="3">
        <v>352</v>
      </c>
      <c r="F354" s="31">
        <f>(社保费用计算表!D15*12)*(1+社保费用计算表!G15)^每年金额计算!E354</f>
        <v>20443803.072090883</v>
      </c>
      <c r="G354" s="22">
        <f>SUM($F$3:F354)</f>
        <v>1041654756.676635</v>
      </c>
    </row>
    <row r="355" spans="1:7" x14ac:dyDescent="0.25">
      <c r="A355" s="3" t="str">
        <f>IF(G355&gt;社保费用计算表!D14,"回本","亏本")</f>
        <v>回本</v>
      </c>
      <c r="E355" s="3">
        <v>353</v>
      </c>
      <c r="F355" s="31">
        <f>(社保费用计算表!D15*12)*(1+社保费用计算表!G15)^每年金额计算!E355</f>
        <v>20852679.133532703</v>
      </c>
      <c r="G355" s="22">
        <f>SUM($F$3:F355)</f>
        <v>1062507435.8101678</v>
      </c>
    </row>
    <row r="356" spans="1:7" x14ac:dyDescent="0.25">
      <c r="A356" s="3" t="str">
        <f>IF(G356&gt;社保费用计算表!D14,"回本","亏本")</f>
        <v>回本</v>
      </c>
      <c r="E356" s="3">
        <v>354</v>
      </c>
      <c r="F356" s="31">
        <f>(社保费用计算表!D15*12)*(1+社保费用计算表!G15)^每年金额计算!E356</f>
        <v>21269732.716203354</v>
      </c>
      <c r="G356" s="22">
        <f>SUM($F$3:F356)</f>
        <v>1083777168.5263712</v>
      </c>
    </row>
    <row r="357" spans="1:7" x14ac:dyDescent="0.25">
      <c r="A357" s="3" t="str">
        <f>IF(G357&gt;社保费用计算表!D14,"回本","亏本")</f>
        <v>回本</v>
      </c>
      <c r="E357" s="3">
        <v>355</v>
      </c>
      <c r="F357" s="31">
        <f>(社保费用计算表!D15*12)*(1+社保费用计算表!G15)^每年金额计算!E357</f>
        <v>21695127.370527424</v>
      </c>
      <c r="G357" s="22">
        <f>SUM($F$3:F357)</f>
        <v>1105472295.8968987</v>
      </c>
    </row>
    <row r="358" spans="1:7" x14ac:dyDescent="0.25">
      <c r="A358" s="3" t="str">
        <f>IF(G358&gt;社保费用计算表!D14,"回本","亏本")</f>
        <v>回本</v>
      </c>
      <c r="E358" s="3">
        <v>356</v>
      </c>
      <c r="F358" s="31">
        <f>(社保费用计算表!D15*12)*(1+社保费用计算表!G15)^每年金额计算!E358</f>
        <v>22129029.917937968</v>
      </c>
      <c r="G358" s="22">
        <f>SUM($F$3:F358)</f>
        <v>1127601325.8148367</v>
      </c>
    </row>
    <row r="359" spans="1:7" x14ac:dyDescent="0.25">
      <c r="A359" s="3" t="str">
        <f>IF(G359&gt;社保费用计算表!D14,"回本","亏本")</f>
        <v>回本</v>
      </c>
      <c r="E359" s="3">
        <v>357</v>
      </c>
      <c r="F359" s="31">
        <f>(社保费用计算表!D15*12)*(1+社保费用计算表!G15)^每年金额计算!E359</f>
        <v>22571610.516296733</v>
      </c>
      <c r="G359" s="22">
        <f>SUM($F$3:F359)</f>
        <v>1150172936.3311334</v>
      </c>
    </row>
    <row r="360" spans="1:7" x14ac:dyDescent="0.25">
      <c r="A360" s="3" t="str">
        <f>IF(G360&gt;社保费用计算表!D14,"回本","亏本")</f>
        <v>回本</v>
      </c>
      <c r="E360" s="3">
        <v>358</v>
      </c>
      <c r="F360" s="31">
        <f>(社保费用计算表!D15*12)*(1+社保费用计算表!G15)^每年金额计算!E360</f>
        <v>23023042.726622667</v>
      </c>
      <c r="G360" s="22">
        <f>SUM($F$3:F360)</f>
        <v>1173195979.0577559</v>
      </c>
    </row>
    <row r="361" spans="1:7" x14ac:dyDescent="0.25">
      <c r="A361" s="3" t="str">
        <f>IF(G361&gt;社保费用计算表!D14,"回本","亏本")</f>
        <v>回本</v>
      </c>
      <c r="E361" s="3">
        <v>359</v>
      </c>
      <c r="F361" s="31">
        <f>(社保费用计算表!D15*12)*(1+社保费用计算表!G15)^每年金额计算!E361</f>
        <v>23483503.58115511</v>
      </c>
      <c r="G361" s="22">
        <f>SUM($F$3:F361)</f>
        <v>1196679482.638911</v>
      </c>
    </row>
    <row r="362" spans="1:7" x14ac:dyDescent="0.25">
      <c r="A362" s="3" t="str">
        <f>IF(G362&gt;社保费用计算表!D14,"回本","亏本")</f>
        <v>回本</v>
      </c>
      <c r="E362" s="3">
        <v>360</v>
      </c>
      <c r="F362" s="31">
        <f>(社保费用计算表!D15*12)*(1+社保费用计算表!G15)^每年金额计算!E362</f>
        <v>23953173.652778223</v>
      </c>
      <c r="G362" s="22">
        <f>SUM($F$3:F362)</f>
        <v>1220632656.2916892</v>
      </c>
    </row>
  </sheetData>
  <sheetProtection algorithmName="SHA-512" hashValue="tu0ifJIZe1dwAsSRTB90ul5mboRKlYk5+wpnBEaUjE6/ZaBOO/5kkSrdSmRF/4D5YAdeW+5MJiGfoLm2NkNBjA==" saltValue="MInD7Czp2tLOEp+5vvK5ww==" spinCount="100000" sheet="1" objects="1" scenarios="1"/>
  <mergeCells count="2">
    <mergeCell ref="B1:D1"/>
    <mergeCell ref="E1:G1"/>
  </mergeCells>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社保费用计算表</vt:lpstr>
      <vt:lpstr>每年金额计算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2026-06-16T14:15:04Z</dcterms:modified>
</cp:coreProperties>
</file>